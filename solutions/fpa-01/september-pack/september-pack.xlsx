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quality" sheetId="4" state="visible" r:id="rId4"/>
    <sheet xmlns:r="http://schemas.openxmlformats.org/officeDocument/2006/relationships" name="map" sheetId="5" state="visible" r:id="rId5"/>
    <sheet xmlns:r="http://schemas.openxmlformats.org/officeDocument/2006/relationships" name="cal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0" borderId="1" pivotButton="0" quotePrefix="0" xfId="0"/>
    <xf numFmtId="3" fontId="1" fillId="0" borderId="1" pivotButton="0" quotePrefix="0" xfId="0"/>
    <xf numFmtId="164" fontId="1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Meridian Pay, management pack</t>
        </is>
      </c>
    </row>
    <row r="2">
      <c r="A2" t="inlineStr">
        <is>
          <t>month</t>
        </is>
      </c>
      <c r="B2" s="2" t="inlineStr">
        <is>
          <t>2025-09</t>
        </is>
      </c>
    </row>
    <row r="3">
      <c r="A3" t="inlineStr">
        <is>
          <t>materiality</t>
        </is>
      </c>
      <c r="B3" s="3" t="n">
        <v>25000</v>
      </c>
    </row>
    <row r="5">
      <c r="A5" s="2" t="inlineStr">
        <is>
          <t>line</t>
        </is>
      </c>
      <c r="B5" s="2" t="inlineStr">
        <is>
          <t>actual</t>
        </is>
      </c>
      <c r="C5" s="2" t="inlineStr">
        <is>
          <t>budget</t>
        </is>
      </c>
      <c r="D5" s="2" t="inlineStr">
        <is>
          <t>variance</t>
        </is>
      </c>
      <c r="E5" s="2" t="inlineStr">
        <is>
          <t>variance %</t>
        </is>
      </c>
    </row>
    <row r="6">
      <c r="A6" t="inlineStr">
        <is>
          <t>Transaction fees</t>
        </is>
      </c>
      <c r="B6" s="3">
        <f>SUMIFS(calc!$D:$D,calc!$B:$B,$B$2,calc!$E:$E,$A6,calc!$F:$F,1)</f>
        <v/>
      </c>
      <c r="C6" s="3">
        <f>SUMIFS(budget!$F:$F,budget!$A:$A,$B$2,budget!$D:$D,INDEX(map!$A$2:$A$12,MATCH($A6,map!$B$2:$B$12,0)))</f>
        <v/>
      </c>
      <c r="D6" s="3">
        <f>IF(INDEX(map!$C$2:$C$12,MATCH($A6,map!$B$2:$B$12,0))="revenue",B6-C6,C6-B6)</f>
        <v/>
      </c>
      <c r="E6" s="4">
        <f>IFERROR((B6-C6)/C6,"")</f>
        <v/>
      </c>
    </row>
    <row r="7">
      <c r="A7" t="inlineStr">
        <is>
          <t>Subscription fees</t>
        </is>
      </c>
      <c r="B7" s="3">
        <f>SUMIFS(calc!$D:$D,calc!$B:$B,$B$2,calc!$E:$E,$A7,calc!$F:$F,1)</f>
        <v/>
      </c>
      <c r="C7" s="3">
        <f>SUMIFS(budget!$F:$F,budget!$A:$A,$B$2,budget!$D:$D,INDEX(map!$A$2:$A$12,MATCH($A7,map!$B$2:$B$12,0)))</f>
        <v/>
      </c>
      <c r="D7" s="3">
        <f>IF(INDEX(map!$C$2:$C$12,MATCH($A7,map!$B$2:$B$12,0))="revenue",B7-C7,C7-B7)</f>
        <v/>
      </c>
      <c r="E7" s="4">
        <f>IFERROR((B7-C7)/C7,"")</f>
        <v/>
      </c>
    </row>
    <row r="8">
      <c r="A8" t="inlineStr">
        <is>
          <t>FX markup</t>
        </is>
      </c>
      <c r="B8" s="3">
        <f>SUMIFS(calc!$D:$D,calc!$B:$B,$B$2,calc!$E:$E,$A8,calc!$F:$F,1)</f>
        <v/>
      </c>
      <c r="C8" s="3">
        <f>SUMIFS(budget!$F:$F,budget!$A:$A,$B$2,budget!$D:$D,INDEX(map!$A$2:$A$12,MATCH($A8,map!$B$2:$B$12,0)))</f>
        <v/>
      </c>
      <c r="D8" s="3">
        <f>IF(INDEX(map!$C$2:$C$12,MATCH($A8,map!$B$2:$B$12,0))="revenue",B8-C8,C8-B8)</f>
        <v/>
      </c>
      <c r="E8" s="4">
        <f>IFERROR((B8-C8)/C8,"")</f>
        <v/>
      </c>
    </row>
    <row r="9">
      <c r="A9" t="inlineStr">
        <is>
          <t>Scheme and interchange</t>
        </is>
      </c>
      <c r="B9" s="3">
        <f>SUMIFS(calc!$D:$D,calc!$B:$B,$B$2,calc!$E:$E,$A9,calc!$F:$F,1)</f>
        <v/>
      </c>
      <c r="C9" s="3">
        <f>SUMIFS(budget!$F:$F,budget!$A:$A,$B$2,budget!$D:$D,INDEX(map!$A$2:$A$12,MATCH($A9,map!$B$2:$B$12,0)))</f>
        <v/>
      </c>
      <c r="D9" s="3">
        <f>IF(INDEX(map!$C$2:$C$12,MATCH($A9,map!$B$2:$B$12,0))="revenue",B9-C9,C9-B9)</f>
        <v/>
      </c>
      <c r="E9" s="4">
        <f>IFERROR((B9-C9)/C9,"")</f>
        <v/>
      </c>
    </row>
    <row r="10">
      <c r="A10" t="inlineStr">
        <is>
          <t>Cloud hosting</t>
        </is>
      </c>
      <c r="B10" s="3">
        <f>SUMIFS(calc!$D:$D,calc!$B:$B,$B$2,calc!$E:$E,$A10,calc!$F:$F,1)</f>
        <v/>
      </c>
      <c r="C10" s="3">
        <f>SUMIFS(budget!$F:$F,budget!$A:$A,$B$2,budget!$D:$D,INDEX(map!$A$2:$A$12,MATCH($A10,map!$B$2:$B$12,0)))</f>
        <v/>
      </c>
      <c r="D10" s="3">
        <f>IF(INDEX(map!$C$2:$C$12,MATCH($A10,map!$B$2:$B$12,0))="revenue",B10-C10,C10-B10)</f>
        <v/>
      </c>
      <c r="E10" s="4">
        <f>IFERROR((B10-C10)/C10,"")</f>
        <v/>
      </c>
    </row>
    <row r="11">
      <c r="A11" t="inlineStr">
        <is>
          <t>Salaries</t>
        </is>
      </c>
      <c r="B11" s="3">
        <f>SUMIFS(calc!$D:$D,calc!$B:$B,$B$2,calc!$E:$E,$A11,calc!$F:$F,1)</f>
        <v/>
      </c>
      <c r="C11" s="3">
        <f>SUMIFS(budget!$F:$F,budget!$A:$A,$B$2,budget!$D:$D,INDEX(map!$A$2:$A$12,MATCH($A11,map!$B$2:$B$12,0)))</f>
        <v/>
      </c>
      <c r="D11" s="3">
        <f>IF(INDEX(map!$C$2:$C$12,MATCH($A11,map!$B$2:$B$12,0))="revenue",B11-C11,C11-B11)</f>
        <v/>
      </c>
      <c r="E11" s="4">
        <f>IFERROR((B11-C11)/C11,"")</f>
        <v/>
      </c>
    </row>
    <row r="12">
      <c r="A12" t="inlineStr">
        <is>
          <t>Marketing programmes</t>
        </is>
      </c>
      <c r="B12" s="3">
        <f>SUMIFS(calc!$D:$D,calc!$B:$B,$B$2,calc!$E:$E,$A12,calc!$F:$F,1)</f>
        <v/>
      </c>
      <c r="C12" s="3">
        <f>SUMIFS(budget!$F:$F,budget!$A:$A,$B$2,budget!$D:$D,INDEX(map!$A$2:$A$12,MATCH($A12,map!$B$2:$B$12,0)))</f>
        <v/>
      </c>
      <c r="D12" s="3">
        <f>IF(INDEX(map!$C$2:$C$12,MATCH($A12,map!$B$2:$B$12,0))="revenue",B12-C12,C12-B12)</f>
        <v/>
      </c>
      <c r="E12" s="4">
        <f>IFERROR((B12-C12)/C12,"")</f>
        <v/>
      </c>
    </row>
    <row r="13">
      <c r="A13" t="inlineStr">
        <is>
          <t>Facilities and admin</t>
        </is>
      </c>
      <c r="B13" s="3">
        <f>SUMIFS(calc!$D:$D,calc!$B:$B,$B$2,calc!$E:$E,$A13,calc!$F:$F,1)</f>
        <v/>
      </c>
      <c r="C13" s="3">
        <f>SUMIFS(budget!$F:$F,budget!$A:$A,$B$2,budget!$D:$D,INDEX(map!$A$2:$A$12,MATCH($A13,map!$B$2:$B$12,0)))</f>
        <v/>
      </c>
      <c r="D13" s="3">
        <f>IF(INDEX(map!$C$2:$C$12,MATCH($A13,map!$B$2:$B$12,0))="revenue",B13-C13,C13-B13)</f>
        <v/>
      </c>
      <c r="E13" s="4">
        <f>IFERROR((B13-C13)/C13,"")</f>
        <v/>
      </c>
    </row>
    <row r="14">
      <c r="B14" s="3" t="n"/>
      <c r="C14" s="3" t="n"/>
      <c r="D14" s="3" t="n"/>
      <c r="E14" s="4" t="n"/>
    </row>
    <row r="15">
      <c r="A15" s="5" t="inlineStr">
        <is>
          <t>Revenue</t>
        </is>
      </c>
      <c r="B15" s="6">
        <f>B6+B7+B8</f>
        <v/>
      </c>
      <c r="C15" s="6">
        <f>C6+C7+C8</f>
        <v/>
      </c>
      <c r="D15" s="6">
        <f>B15-C15</f>
        <v/>
      </c>
      <c r="E15" s="7">
        <f>IFERROR((B15-C15)/C15,"")</f>
        <v/>
      </c>
    </row>
    <row r="16">
      <c r="A16" s="5" t="inlineStr">
        <is>
          <t>Cost of sales</t>
        </is>
      </c>
      <c r="B16" s="6">
        <f>B9+B10</f>
        <v/>
      </c>
      <c r="C16" s="6">
        <f>C9+C10</f>
        <v/>
      </c>
      <c r="D16" s="6">
        <f>C16-B16</f>
        <v/>
      </c>
      <c r="E16" s="7">
        <f>IFERROR((B16-C16)/C16,"")</f>
        <v/>
      </c>
    </row>
    <row r="17">
      <c r="A17" s="5" t="inlineStr">
        <is>
          <t>Gross profit</t>
        </is>
      </c>
      <c r="B17" s="6">
        <f>B15-B16</f>
        <v/>
      </c>
      <c r="C17" s="6">
        <f>C15-C16</f>
        <v/>
      </c>
      <c r="D17" s="6">
        <f>B17-C17</f>
        <v/>
      </c>
      <c r="E17" s="7">
        <f>IFERROR((B17-C17)/C17,"")</f>
        <v/>
      </c>
    </row>
    <row r="18">
      <c r="A18" s="5" t="inlineStr">
        <is>
          <t>Operating expenses</t>
        </is>
      </c>
      <c r="B18" s="6">
        <f>B11+B12+B13</f>
        <v/>
      </c>
      <c r="C18" s="6">
        <f>C11+C12+C13</f>
        <v/>
      </c>
      <c r="D18" s="6">
        <f>C18-B18</f>
        <v/>
      </c>
      <c r="E18" s="7">
        <f>IFERROR((B18-C18)/C18,"")</f>
        <v/>
      </c>
    </row>
    <row r="19">
      <c r="A19" s="5" t="inlineStr">
        <is>
          <t>EBITDA</t>
        </is>
      </c>
      <c r="B19" s="6">
        <f>B17-B18</f>
        <v/>
      </c>
      <c r="C19" s="6">
        <f>C17-C18</f>
        <v/>
      </c>
      <c r="D19" s="6">
        <f>B19-C19</f>
        <v/>
      </c>
      <c r="E19" s="7">
        <f>IFERROR((B19-C19)/C19,"")</f>
        <v/>
      </c>
    </row>
    <row r="20">
      <c r="A20" t="inlineStr">
        <is>
          <t>Gross margin</t>
        </is>
      </c>
      <c r="B20" s="4">
        <f>B17/B15</f>
        <v/>
      </c>
      <c r="C20" s="4">
        <f>C17/C15</f>
        <v/>
      </c>
    </row>
    <row r="22">
      <c r="A22" t="inlineStr">
        <is>
          <t>check: pack against ledger</t>
        </is>
      </c>
      <c r="B22">
        <f>ROUND((B15-B16-B18)-(SUMIFS(calc!$D:$D,calc!$B:$B,$B$2,calc!$F:$F,1,calc!$G:$G,"revenue")-SUMIFS(calc!$D:$D,calc!$B:$B,$B$2,calc!$F:$F,1,calc!$G:$G,"cogs")-SUMIFS(calc!$D:$D,calc!$B:$B,$B$2,calc!$F:$F,1,calc!$G:$G,"opex")),2)</f>
        <v/>
      </c>
      <c r="C22" t="inlineStr">
        <is>
          <t>must be zero</t>
        </is>
      </c>
    </row>
  </sheetData>
  <conditionalFormatting sqref="B2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journal_id</t>
        </is>
      </c>
      <c r="B1" s="2" t="inlineStr">
        <is>
          <t>month</t>
        </is>
      </c>
      <c r="C1" s="2" t="inlineStr">
        <is>
          <t>cost_centre</t>
        </is>
      </c>
      <c r="D1" s="2" t="inlineStr">
        <is>
          <t>cost_centre_name</t>
        </is>
      </c>
      <c r="E1" s="2" t="inlineStr">
        <is>
          <t>account_code</t>
        </is>
      </c>
      <c r="F1" s="2" t="inlineStr">
        <is>
          <t>account_name</t>
        </is>
      </c>
      <c r="G1" s="2" t="inlineStr">
        <is>
          <t>line_type</t>
        </is>
      </c>
      <c r="H1" s="2" t="inlineStr">
        <is>
          <t>amount</t>
        </is>
      </c>
      <c r="I1" s="2" t="inlineStr">
        <is>
          <t>memo</t>
        </is>
      </c>
    </row>
    <row r="2">
      <c r="A2" t="inlineStr">
        <is>
          <t>JE000001</t>
        </is>
      </c>
      <c r="B2" t="inlineStr">
        <is>
          <t>2024-01</t>
        </is>
      </c>
      <c r="C2" t="inlineStr">
        <is>
          <t>CC900</t>
        </is>
      </c>
      <c r="D2" t="inlineStr">
        <is>
          <t>Corporate</t>
        </is>
      </c>
      <c r="E2" t="inlineStr">
        <is>
          <t>4000</t>
        </is>
      </c>
      <c r="F2" t="inlineStr">
        <is>
          <t>Transaction fees</t>
        </is>
      </c>
      <c r="G2" t="inlineStr">
        <is>
          <t>revenue</t>
        </is>
      </c>
      <c r="H2" t="inlineStr">
        <is>
          <t>-1188222.14</t>
        </is>
      </c>
      <c r="I2" t="inlineStr"/>
    </row>
    <row r="3">
      <c r="A3" t="inlineStr">
        <is>
          <t>JE000002</t>
        </is>
      </c>
      <c r="B3" t="inlineStr">
        <is>
          <t>2024-01</t>
        </is>
      </c>
      <c r="C3" t="inlineStr">
        <is>
          <t>CC900</t>
        </is>
      </c>
      <c r="D3" t="inlineStr">
        <is>
          <t>Corporate</t>
        </is>
      </c>
      <c r="E3" t="inlineStr">
        <is>
          <t>4100</t>
        </is>
      </c>
      <c r="F3" t="inlineStr">
        <is>
          <t>Subscription fees</t>
        </is>
      </c>
      <c r="G3" t="inlineStr">
        <is>
          <t>revenue</t>
        </is>
      </c>
      <c r="H3" t="inlineStr">
        <is>
          <t>-486000.00</t>
        </is>
      </c>
      <c r="I3" t="inlineStr"/>
    </row>
    <row r="4">
      <c r="A4" t="inlineStr">
        <is>
          <t>JE000003</t>
        </is>
      </c>
      <c r="B4" t="inlineStr">
        <is>
          <t>2024-01</t>
        </is>
      </c>
      <c r="C4" t="inlineStr">
        <is>
          <t>CC900</t>
        </is>
      </c>
      <c r="D4" t="inlineStr">
        <is>
          <t>Corporate</t>
        </is>
      </c>
      <c r="E4" t="inlineStr">
        <is>
          <t>4200</t>
        </is>
      </c>
      <c r="F4" t="inlineStr">
        <is>
          <t>FX markup</t>
        </is>
      </c>
      <c r="G4" t="inlineStr">
        <is>
          <t>revenue</t>
        </is>
      </c>
      <c r="H4" t="inlineStr">
        <is>
          <t>-129065.51</t>
        </is>
      </c>
      <c r="I4" t="inlineStr"/>
    </row>
    <row r="5">
      <c r="A5" t="inlineStr">
        <is>
          <t>JE000004</t>
        </is>
      </c>
      <c r="B5" t="inlineStr">
        <is>
          <t>2024-01</t>
        </is>
      </c>
      <c r="C5" t="inlineStr">
        <is>
          <t>CC900</t>
        </is>
      </c>
      <c r="D5" t="inlineStr">
        <is>
          <t>Corporate</t>
        </is>
      </c>
      <c r="E5" t="inlineStr">
        <is>
          <t>5000</t>
        </is>
      </c>
      <c r="F5" t="inlineStr">
        <is>
          <t>Scheme and interchange costs</t>
        </is>
      </c>
      <c r="G5" t="inlineStr">
        <is>
          <t>cogs</t>
        </is>
      </c>
      <c r="H5" t="inlineStr">
        <is>
          <t>676057.43</t>
        </is>
      </c>
      <c r="I5" t="inlineStr"/>
    </row>
    <row r="6">
      <c r="A6" t="inlineStr">
        <is>
          <t>JE000005</t>
        </is>
      </c>
      <c r="B6" t="inlineStr">
        <is>
          <t>2024-01</t>
        </is>
      </c>
      <c r="C6" t="inlineStr">
        <is>
          <t>CC900</t>
        </is>
      </c>
      <c r="D6" t="inlineStr">
        <is>
          <t>Corporate</t>
        </is>
      </c>
      <c r="E6" t="inlineStr">
        <is>
          <t>5100</t>
        </is>
      </c>
      <c r="F6" t="inlineStr">
        <is>
          <t>Cloud hosting</t>
        </is>
      </c>
      <c r="G6" t="inlineStr">
        <is>
          <t>cogs</t>
        </is>
      </c>
      <c r="H6" t="inlineStr">
        <is>
          <t>85000.00</t>
        </is>
      </c>
      <c r="I6" t="inlineStr"/>
    </row>
    <row r="7">
      <c r="A7" t="inlineStr">
        <is>
          <t>JE000006</t>
        </is>
      </c>
      <c r="B7" t="inlineStr">
        <is>
          <t>2024-01</t>
        </is>
      </c>
      <c r="C7" t="inlineStr">
        <is>
          <t>CC100</t>
        </is>
      </c>
      <c r="D7" t="inlineStr">
        <is>
          <t>Engineering</t>
        </is>
      </c>
      <c r="E7" t="inlineStr">
        <is>
          <t>6000</t>
        </is>
      </c>
      <c r="F7" t="inlineStr">
        <is>
          <t>Salaries and wages</t>
        </is>
      </c>
      <c r="G7" t="inlineStr">
        <is>
          <t>opex</t>
        </is>
      </c>
      <c r="H7" t="inlineStr">
        <is>
          <t>448400.00</t>
        </is>
      </c>
      <c r="I7" t="inlineStr"/>
    </row>
    <row r="8">
      <c r="A8" t="inlineStr">
        <is>
          <t>JE000007</t>
        </is>
      </c>
      <c r="B8" t="inlineStr">
        <is>
          <t>2024-01</t>
        </is>
      </c>
      <c r="C8" t="inlineStr">
        <is>
          <t>CC200</t>
        </is>
      </c>
      <c r="D8" t="inlineStr">
        <is>
          <t>Sales</t>
        </is>
      </c>
      <c r="E8" t="inlineStr">
        <is>
          <t>6000</t>
        </is>
      </c>
      <c r="F8" t="inlineStr">
        <is>
          <t>Salaries and wages</t>
        </is>
      </c>
      <c r="G8" t="inlineStr">
        <is>
          <t>opex</t>
        </is>
      </c>
      <c r="H8" t="inlineStr">
        <is>
          <t>131600.00</t>
        </is>
      </c>
      <c r="I8" t="inlineStr"/>
    </row>
    <row r="9">
      <c r="A9" t="inlineStr">
        <is>
          <t>JE000008</t>
        </is>
      </c>
      <c r="B9" t="inlineStr">
        <is>
          <t>2024-01</t>
        </is>
      </c>
      <c r="C9" t="inlineStr">
        <is>
          <t>CC300</t>
        </is>
      </c>
      <c r="D9" t="inlineStr">
        <is>
          <t>Marketing</t>
        </is>
      </c>
      <c r="E9" t="inlineStr">
        <is>
          <t>6000</t>
        </is>
      </c>
      <c r="F9" t="inlineStr">
        <is>
          <t>Salaries and wages</t>
        </is>
      </c>
      <c r="G9" t="inlineStr">
        <is>
          <t>opex</t>
        </is>
      </c>
      <c r="H9" t="inlineStr">
        <is>
          <t>53400.00</t>
        </is>
      </c>
      <c r="I9" t="inlineStr"/>
    </row>
    <row r="10">
      <c r="A10" t="inlineStr">
        <is>
          <t>JE000009</t>
        </is>
      </c>
      <c r="B10" t="inlineStr">
        <is>
          <t>2024-01</t>
        </is>
      </c>
      <c r="C10" t="inlineStr">
        <is>
          <t>CC400</t>
        </is>
      </c>
      <c r="D10" t="inlineStr">
        <is>
          <t>Customer support</t>
        </is>
      </c>
      <c r="E10" t="inlineStr">
        <is>
          <t>6000</t>
        </is>
      </c>
      <c r="F10" t="inlineStr">
        <is>
          <t>Salaries and wages</t>
        </is>
      </c>
      <c r="G10" t="inlineStr">
        <is>
          <t>opex</t>
        </is>
      </c>
      <c r="H10" t="inlineStr">
        <is>
          <t>106400.00</t>
        </is>
      </c>
      <c r="I10" t="inlineStr"/>
    </row>
    <row r="11">
      <c r="A11" t="inlineStr">
        <is>
          <t>JE000010</t>
        </is>
      </c>
      <c r="B11" t="inlineStr">
        <is>
          <t>2024-01</t>
        </is>
      </c>
      <c r="C11" t="inlineStr">
        <is>
          <t>CC500</t>
        </is>
      </c>
      <c r="D11" t="inlineStr">
        <is>
          <t>General and administrative</t>
        </is>
      </c>
      <c r="E11" t="inlineStr">
        <is>
          <t>6000</t>
        </is>
      </c>
      <c r="F11" t="inlineStr">
        <is>
          <t>Salaries and wages</t>
        </is>
      </c>
      <c r="G11" t="inlineStr">
        <is>
          <t>opex</t>
        </is>
      </c>
      <c r="H11" t="inlineStr">
        <is>
          <t>100100.00</t>
        </is>
      </c>
      <c r="I11" t="inlineStr"/>
    </row>
    <row r="12">
      <c r="A12" t="inlineStr">
        <is>
          <t>JE000011</t>
        </is>
      </c>
      <c r="B12" t="inlineStr">
        <is>
          <t>2024-01</t>
        </is>
      </c>
      <c r="C12" t="inlineStr">
        <is>
          <t>CC300</t>
        </is>
      </c>
      <c r="D12" t="inlineStr">
        <is>
          <t>Marketing</t>
        </is>
      </c>
      <c r="E12" t="inlineStr">
        <is>
          <t>6100</t>
        </is>
      </c>
      <c r="F12" t="inlineStr">
        <is>
          <t>Marketing programmes</t>
        </is>
      </c>
      <c r="G12" t="inlineStr">
        <is>
          <t>opex</t>
        </is>
      </c>
      <c r="H12" t="inlineStr">
        <is>
          <t>180000.00</t>
        </is>
      </c>
      <c r="I12" t="inlineStr"/>
    </row>
    <row r="13">
      <c r="A13" t="inlineStr">
        <is>
          <t>JE000012</t>
        </is>
      </c>
      <c r="B13" t="inlineStr">
        <is>
          <t>2024-01</t>
        </is>
      </c>
      <c r="C13" t="inlineStr">
        <is>
          <t>CC500</t>
        </is>
      </c>
      <c r="D13" t="inlineStr">
        <is>
          <t>General and administrative</t>
        </is>
      </c>
      <c r="E13" t="inlineStr">
        <is>
          <t>6200</t>
        </is>
      </c>
      <c r="F13" t="inlineStr">
        <is>
          <t>Facilities and administration</t>
        </is>
      </c>
      <c r="G13" t="inlineStr">
        <is>
          <t>opex</t>
        </is>
      </c>
      <c r="H13" t="inlineStr">
        <is>
          <t>148000.00</t>
        </is>
      </c>
      <c r="I13" t="inlineStr"/>
    </row>
    <row r="14">
      <c r="A14" t="inlineStr">
        <is>
          <t>JE000013</t>
        </is>
      </c>
      <c r="B14" t="inlineStr">
        <is>
          <t>2024-01</t>
        </is>
      </c>
      <c r="C14" t="inlineStr">
        <is>
          <t>CC900</t>
        </is>
      </c>
      <c r="D14" t="inlineStr">
        <is>
          <t>Corporate</t>
        </is>
      </c>
      <c r="E14" t="inlineStr">
        <is>
          <t>7000</t>
        </is>
      </c>
      <c r="F14" t="inlineStr">
        <is>
          <t>Depreciation</t>
        </is>
      </c>
      <c r="G14" t="inlineStr">
        <is>
          <t>other</t>
        </is>
      </c>
      <c r="H14" t="inlineStr">
        <is>
          <t>72850.00</t>
        </is>
      </c>
      <c r="I14" t="inlineStr"/>
    </row>
    <row r="15">
      <c r="A15" t="inlineStr">
        <is>
          <t>JE000014</t>
        </is>
      </c>
      <c r="B15" t="inlineStr">
        <is>
          <t>2024-01</t>
        </is>
      </c>
      <c r="C15" t="inlineStr">
        <is>
          <t>CC900</t>
        </is>
      </c>
      <c r="D15" t="inlineStr">
        <is>
          <t>Corporate</t>
        </is>
      </c>
      <c r="E15" t="inlineStr">
        <is>
          <t>8000</t>
        </is>
      </c>
      <c r="F15" t="inlineStr">
        <is>
          <t>Interest expense</t>
        </is>
      </c>
      <c r="G15" t="inlineStr">
        <is>
          <t>other</t>
        </is>
      </c>
      <c r="H15" t="inlineStr">
        <is>
          <t>47500.00</t>
        </is>
      </c>
      <c r="I15" t="inlineStr"/>
    </row>
    <row r="16">
      <c r="A16" t="inlineStr">
        <is>
          <t>JE000015</t>
        </is>
      </c>
      <c r="B16" t="inlineStr">
        <is>
          <t>2024-01</t>
        </is>
      </c>
      <c r="C16" t="inlineStr">
        <is>
          <t>CC900</t>
        </is>
      </c>
      <c r="D16" t="inlineStr">
        <is>
          <t>Corporate</t>
        </is>
      </c>
      <c r="E16" t="inlineStr">
        <is>
          <t>9000</t>
        </is>
      </c>
      <c r="F16" t="inlineStr">
        <is>
          <t>Income tax</t>
        </is>
      </c>
      <c r="G16" t="inlineStr">
        <is>
          <t>other</t>
        </is>
      </c>
      <c r="H16" t="inlineStr">
        <is>
          <t>0.00</t>
        </is>
      </c>
      <c r="I16" t="inlineStr"/>
    </row>
    <row r="17">
      <c r="A17" t="inlineStr">
        <is>
          <t>JE000016</t>
        </is>
      </c>
      <c r="B17" t="inlineStr">
        <is>
          <t>2024-02</t>
        </is>
      </c>
      <c r="C17" t="inlineStr">
        <is>
          <t>CC900</t>
        </is>
      </c>
      <c r="D17" t="inlineStr">
        <is>
          <t>Corporate</t>
        </is>
      </c>
      <c r="E17" t="inlineStr">
        <is>
          <t>4000</t>
        </is>
      </c>
      <c r="F17" t="inlineStr">
        <is>
          <t>Transaction fees</t>
        </is>
      </c>
      <c r="G17" t="inlineStr">
        <is>
          <t>revenue</t>
        </is>
      </c>
      <c r="H17" t="inlineStr">
        <is>
          <t>-1286669.11</t>
        </is>
      </c>
      <c r="I17" t="inlineStr"/>
    </row>
    <row r="18">
      <c r="A18" t="inlineStr">
        <is>
          <t>JE000017</t>
        </is>
      </c>
      <c r="B18" t="inlineStr">
        <is>
          <t>2024-02</t>
        </is>
      </c>
      <c r="C18" t="inlineStr">
        <is>
          <t>CC900</t>
        </is>
      </c>
      <c r="D18" t="inlineStr">
        <is>
          <t>Corporate</t>
        </is>
      </c>
      <c r="E18" t="inlineStr">
        <is>
          <t>4100</t>
        </is>
      </c>
      <c r="F18" t="inlineStr">
        <is>
          <t>Subscription fees</t>
        </is>
      </c>
      <c r="G18" t="inlineStr">
        <is>
          <t>revenue</t>
        </is>
      </c>
      <c r="H18" t="inlineStr">
        <is>
          <t>-505800.00</t>
        </is>
      </c>
      <c r="I18" t="inlineStr"/>
    </row>
    <row r="19">
      <c r="A19" t="inlineStr">
        <is>
          <t>JE000018</t>
        </is>
      </c>
      <c r="B19" t="inlineStr">
        <is>
          <t>2024-02</t>
        </is>
      </c>
      <c r="C19" t="inlineStr">
        <is>
          <t>CC900</t>
        </is>
      </c>
      <c r="D19" t="inlineStr">
        <is>
          <t>Corporate</t>
        </is>
      </c>
      <c r="E19" t="inlineStr">
        <is>
          <t>4200</t>
        </is>
      </c>
      <c r="F19" t="inlineStr">
        <is>
          <t>FX markup</t>
        </is>
      </c>
      <c r="G19" t="inlineStr">
        <is>
          <t>revenue</t>
        </is>
      </c>
      <c r="H19" t="inlineStr">
        <is>
          <t>-139758.89</t>
        </is>
      </c>
      <c r="I19" t="inlineStr"/>
    </row>
    <row r="20">
      <c r="A20" t="inlineStr">
        <is>
          <t>JE000019</t>
        </is>
      </c>
      <c r="B20" t="inlineStr">
        <is>
          <t>2024-02</t>
        </is>
      </c>
      <c r="C20" t="inlineStr">
        <is>
          <t>CC900</t>
        </is>
      </c>
      <c r="D20" t="inlineStr">
        <is>
          <t>Corporate</t>
        </is>
      </c>
      <c r="E20" t="inlineStr">
        <is>
          <t>5000</t>
        </is>
      </c>
      <c r="F20" t="inlineStr">
        <is>
          <t>Scheme and interchange costs</t>
        </is>
      </c>
      <c r="G20" t="inlineStr">
        <is>
          <t>cogs</t>
        </is>
      </c>
      <c r="H20" t="inlineStr">
        <is>
          <t>732070.35</t>
        </is>
      </c>
      <c r="I20" t="inlineStr"/>
    </row>
    <row r="21">
      <c r="A21" t="inlineStr">
        <is>
          <t>JE000020</t>
        </is>
      </c>
      <c r="B21" t="inlineStr">
        <is>
          <t>2024-02</t>
        </is>
      </c>
      <c r="C21" t="inlineStr">
        <is>
          <t>CC900</t>
        </is>
      </c>
      <c r="D21" t="inlineStr">
        <is>
          <t>Corporate</t>
        </is>
      </c>
      <c r="E21" t="inlineStr">
        <is>
          <t>5100</t>
        </is>
      </c>
      <c r="F21" t="inlineStr">
        <is>
          <t>Cloud hosting</t>
        </is>
      </c>
      <c r="G21" t="inlineStr">
        <is>
          <t>cogs</t>
        </is>
      </c>
      <c r="H21" t="inlineStr">
        <is>
          <t>86530.00</t>
        </is>
      </c>
      <c r="I21" t="inlineStr"/>
    </row>
    <row r="22">
      <c r="A22" t="inlineStr">
        <is>
          <t>JE000021</t>
        </is>
      </c>
      <c r="B22" t="inlineStr">
        <is>
          <t>2024-02</t>
        </is>
      </c>
      <c r="C22" t="inlineStr">
        <is>
          <t>CC100</t>
        </is>
      </c>
      <c r="D22" t="inlineStr">
        <is>
          <t>Engineering</t>
        </is>
      </c>
      <c r="E22" t="inlineStr">
        <is>
          <t>6000</t>
        </is>
      </c>
      <c r="F22" t="inlineStr">
        <is>
          <t>Salaries and wages</t>
        </is>
      </c>
      <c r="G22" t="inlineStr">
        <is>
          <t>opex</t>
        </is>
      </c>
      <c r="H22" t="inlineStr">
        <is>
          <t>448400.00</t>
        </is>
      </c>
      <c r="I22" t="inlineStr"/>
    </row>
    <row r="23">
      <c r="A23" t="inlineStr">
        <is>
          <t>JE000022</t>
        </is>
      </c>
      <c r="B23" t="inlineStr">
        <is>
          <t>2024-02</t>
        </is>
      </c>
      <c r="C23" t="inlineStr">
        <is>
          <t>CC200</t>
        </is>
      </c>
      <c r="D23" t="inlineStr">
        <is>
          <t>Sales</t>
        </is>
      </c>
      <c r="E23" t="inlineStr">
        <is>
          <t>6000</t>
        </is>
      </c>
      <c r="F23" t="inlineStr">
        <is>
          <t>Salaries and wages</t>
        </is>
      </c>
      <c r="G23" t="inlineStr">
        <is>
          <t>opex</t>
        </is>
      </c>
      <c r="H23" t="inlineStr">
        <is>
          <t>131600.00</t>
        </is>
      </c>
      <c r="I23" t="inlineStr"/>
    </row>
    <row r="24">
      <c r="A24" t="inlineStr">
        <is>
          <t>JE000023</t>
        </is>
      </c>
      <c r="B24" t="inlineStr">
        <is>
          <t>2024-02</t>
        </is>
      </c>
      <c r="C24" t="inlineStr">
        <is>
          <t>CC300</t>
        </is>
      </c>
      <c r="D24" t="inlineStr">
        <is>
          <t>Marketing</t>
        </is>
      </c>
      <c r="E24" t="inlineStr">
        <is>
          <t>6000</t>
        </is>
      </c>
      <c r="F24" t="inlineStr">
        <is>
          <t>Salaries and wages</t>
        </is>
      </c>
      <c r="G24" t="inlineStr">
        <is>
          <t>opex</t>
        </is>
      </c>
      <c r="H24" t="inlineStr">
        <is>
          <t>53400.00</t>
        </is>
      </c>
      <c r="I24" t="inlineStr"/>
    </row>
    <row r="25">
      <c r="A25" t="inlineStr">
        <is>
          <t>JE000024</t>
        </is>
      </c>
      <c r="B25" t="inlineStr">
        <is>
          <t>2024-02</t>
        </is>
      </c>
      <c r="C25" t="inlineStr">
        <is>
          <t>CC400</t>
        </is>
      </c>
      <c r="D25" t="inlineStr">
        <is>
          <t>Customer support</t>
        </is>
      </c>
      <c r="E25" t="inlineStr">
        <is>
          <t>6000</t>
        </is>
      </c>
      <c r="F25" t="inlineStr">
        <is>
          <t>Salaries and wages</t>
        </is>
      </c>
      <c r="G25" t="inlineStr">
        <is>
          <t>opex</t>
        </is>
      </c>
      <c r="H25" t="inlineStr">
        <is>
          <t>106400.00</t>
        </is>
      </c>
      <c r="I25" t="inlineStr"/>
    </row>
    <row r="26">
      <c r="A26" t="inlineStr">
        <is>
          <t>JE000025</t>
        </is>
      </c>
      <c r="B26" t="inlineStr">
        <is>
          <t>2024-02</t>
        </is>
      </c>
      <c r="C26" t="inlineStr">
        <is>
          <t>CC500</t>
        </is>
      </c>
      <c r="D26" t="inlineStr">
        <is>
          <t>General and administrative</t>
        </is>
      </c>
      <c r="E26" t="inlineStr">
        <is>
          <t>6000</t>
        </is>
      </c>
      <c r="F26" t="inlineStr">
        <is>
          <t>Salaries and wages</t>
        </is>
      </c>
      <c r="G26" t="inlineStr">
        <is>
          <t>opex</t>
        </is>
      </c>
      <c r="H26" t="inlineStr">
        <is>
          <t>100100.00</t>
        </is>
      </c>
      <c r="I26" t="inlineStr"/>
    </row>
    <row r="27">
      <c r="A27" t="inlineStr">
        <is>
          <t>JE000026</t>
        </is>
      </c>
      <c r="B27" t="inlineStr">
        <is>
          <t>2024-02</t>
        </is>
      </c>
      <c r="C27" t="inlineStr">
        <is>
          <t>CC300</t>
        </is>
      </c>
      <c r="D27" t="inlineStr">
        <is>
          <t>Marketing</t>
        </is>
      </c>
      <c r="E27" t="inlineStr">
        <is>
          <t>6100</t>
        </is>
      </c>
      <c r="F27" t="inlineStr">
        <is>
          <t>Marketing programmes</t>
        </is>
      </c>
      <c r="G27" t="inlineStr">
        <is>
          <t>opex</t>
        </is>
      </c>
      <c r="H27" t="inlineStr">
        <is>
          <t>180000.00</t>
        </is>
      </c>
      <c r="I27" t="inlineStr"/>
    </row>
    <row r="28">
      <c r="A28" t="inlineStr">
        <is>
          <t>JE000027</t>
        </is>
      </c>
      <c r="B28" t="inlineStr">
        <is>
          <t>2024-02</t>
        </is>
      </c>
      <c r="C28" t="inlineStr">
        <is>
          <t>CC500</t>
        </is>
      </c>
      <c r="D28" t="inlineStr">
        <is>
          <t>General and administrative</t>
        </is>
      </c>
      <c r="E28" t="inlineStr">
        <is>
          <t>6200</t>
        </is>
      </c>
      <c r="F28" t="inlineStr">
        <is>
          <t>Facilities and administration</t>
        </is>
      </c>
      <c r="G28" t="inlineStr">
        <is>
          <t>opex</t>
        </is>
      </c>
      <c r="H28" t="inlineStr">
        <is>
          <t>148000.00</t>
        </is>
      </c>
      <c r="I28" t="inlineStr"/>
    </row>
    <row r="29">
      <c r="A29" t="inlineStr">
        <is>
          <t>JE000028</t>
        </is>
      </c>
      <c r="B29" t="inlineStr">
        <is>
          <t>2024-02</t>
        </is>
      </c>
      <c r="C29" t="inlineStr">
        <is>
          <t>CC900</t>
        </is>
      </c>
      <c r="D29" t="inlineStr">
        <is>
          <t>Corporate</t>
        </is>
      </c>
      <c r="E29" t="inlineStr">
        <is>
          <t>7000</t>
        </is>
      </c>
      <c r="F29" t="inlineStr">
        <is>
          <t>Depreciation</t>
        </is>
      </c>
      <c r="G29" t="inlineStr">
        <is>
          <t>other</t>
        </is>
      </c>
      <c r="H29" t="inlineStr">
        <is>
          <t>73958.02</t>
        </is>
      </c>
      <c r="I29" t="inlineStr"/>
    </row>
    <row r="30">
      <c r="A30" t="inlineStr">
        <is>
          <t>JE000029</t>
        </is>
      </c>
      <c r="B30" t="inlineStr">
        <is>
          <t>2024-02</t>
        </is>
      </c>
      <c r="C30" t="inlineStr">
        <is>
          <t>CC900</t>
        </is>
      </c>
      <c r="D30" t="inlineStr">
        <is>
          <t>Corporate</t>
        </is>
      </c>
      <c r="E30" t="inlineStr">
        <is>
          <t>8000</t>
        </is>
      </c>
      <c r="F30" t="inlineStr">
        <is>
          <t>Interest expense</t>
        </is>
      </c>
      <c r="G30" t="inlineStr">
        <is>
          <t>other</t>
        </is>
      </c>
      <c r="H30" t="inlineStr">
        <is>
          <t>46510.42</t>
        </is>
      </c>
      <c r="I30" t="inlineStr"/>
    </row>
    <row r="31">
      <c r="A31" t="inlineStr">
        <is>
          <t>JE000030</t>
        </is>
      </c>
      <c r="B31" t="inlineStr">
        <is>
          <t>2024-02</t>
        </is>
      </c>
      <c r="C31" t="inlineStr">
        <is>
          <t>CC900</t>
        </is>
      </c>
      <c r="D31" t="inlineStr">
        <is>
          <t>Corporate</t>
        </is>
      </c>
      <c r="E31" t="inlineStr">
        <is>
          <t>9000</t>
        </is>
      </c>
      <c r="F31" t="inlineStr">
        <is>
          <t>Income tax</t>
        </is>
      </c>
      <c r="G31" t="inlineStr">
        <is>
          <t>other</t>
        </is>
      </c>
      <c r="H31" t="inlineStr">
        <is>
          <t>0.00</t>
        </is>
      </c>
      <c r="I31" t="inlineStr"/>
    </row>
    <row r="32">
      <c r="A32" t="inlineStr">
        <is>
          <t>JE000031</t>
        </is>
      </c>
      <c r="B32" t="inlineStr">
        <is>
          <t>2024-03</t>
        </is>
      </c>
      <c r="C32" t="inlineStr">
        <is>
          <t>CC900</t>
        </is>
      </c>
      <c r="D32" t="inlineStr">
        <is>
          <t>Corporate</t>
        </is>
      </c>
      <c r="E32" t="inlineStr">
        <is>
          <t>4000</t>
        </is>
      </c>
      <c r="F32" t="inlineStr">
        <is>
          <t>Transaction fees</t>
        </is>
      </c>
      <c r="G32" t="inlineStr">
        <is>
          <t>revenue</t>
        </is>
      </c>
      <c r="H32" t="inlineStr">
        <is>
          <t>-1426396.44</t>
        </is>
      </c>
      <c r="I32" t="inlineStr"/>
    </row>
    <row r="33">
      <c r="A33" t="inlineStr">
        <is>
          <t>JE000032</t>
        </is>
      </c>
      <c r="B33" t="inlineStr">
        <is>
          <t>2024-03</t>
        </is>
      </c>
      <c r="C33" t="inlineStr">
        <is>
          <t>CC900</t>
        </is>
      </c>
      <c r="D33" t="inlineStr">
        <is>
          <t>Corporate</t>
        </is>
      </c>
      <c r="E33" t="inlineStr">
        <is>
          <t>4100</t>
        </is>
      </c>
      <c r="F33" t="inlineStr">
        <is>
          <t>Subscription fees</t>
        </is>
      </c>
      <c r="G33" t="inlineStr">
        <is>
          <t>revenue</t>
        </is>
      </c>
      <c r="H33" t="inlineStr">
        <is>
          <t>-520200.00</t>
        </is>
      </c>
      <c r="I33" t="inlineStr"/>
    </row>
    <row r="34">
      <c r="A34" t="inlineStr">
        <is>
          <t>JE000033</t>
        </is>
      </c>
      <c r="B34" t="inlineStr">
        <is>
          <t>2024-03</t>
        </is>
      </c>
      <c r="C34" t="inlineStr">
        <is>
          <t>CC900</t>
        </is>
      </c>
      <c r="D34" t="inlineStr">
        <is>
          <t>Corporate</t>
        </is>
      </c>
      <c r="E34" t="inlineStr">
        <is>
          <t>4200</t>
        </is>
      </c>
      <c r="F34" t="inlineStr">
        <is>
          <t>FX markup</t>
        </is>
      </c>
      <c r="G34" t="inlineStr">
        <is>
          <t>revenue</t>
        </is>
      </c>
      <c r="H34" t="inlineStr">
        <is>
          <t>-154936.16</t>
        </is>
      </c>
      <c r="I34" t="inlineStr"/>
    </row>
    <row r="35">
      <c r="A35" t="inlineStr">
        <is>
          <t>JE000034</t>
        </is>
      </c>
      <c r="B35" t="inlineStr">
        <is>
          <t>2024-03</t>
        </is>
      </c>
      <c r="C35" t="inlineStr">
        <is>
          <t>CC900</t>
        </is>
      </c>
      <c r="D35" t="inlineStr">
        <is>
          <t>Corporate</t>
        </is>
      </c>
      <c r="E35" t="inlineStr">
        <is>
          <t>5000</t>
        </is>
      </c>
      <c r="F35" t="inlineStr">
        <is>
          <t>Scheme and interchange costs</t>
        </is>
      </c>
      <c r="G35" t="inlineStr">
        <is>
          <t>cogs</t>
        </is>
      </c>
      <c r="H35" t="inlineStr">
        <is>
          <t>811570.39</t>
        </is>
      </c>
      <c r="I35" t="inlineStr"/>
    </row>
    <row r="36">
      <c r="A36" t="inlineStr">
        <is>
          <t>JE000035</t>
        </is>
      </c>
      <c r="B36" t="inlineStr">
        <is>
          <t>2024-03</t>
        </is>
      </c>
      <c r="C36" t="inlineStr">
        <is>
          <t>CC900</t>
        </is>
      </c>
      <c r="D36" t="inlineStr">
        <is>
          <t>Corporate</t>
        </is>
      </c>
      <c r="E36" t="inlineStr">
        <is>
          <t>5100</t>
        </is>
      </c>
      <c r="F36" t="inlineStr">
        <is>
          <t>Cloud hosting</t>
        </is>
      </c>
      <c r="G36" t="inlineStr">
        <is>
          <t>cogs</t>
        </is>
      </c>
      <c r="H36" t="inlineStr">
        <is>
          <t>88087.54</t>
        </is>
      </c>
      <c r="I36" t="inlineStr"/>
    </row>
    <row r="37">
      <c r="A37" t="inlineStr">
        <is>
          <t>JE000036</t>
        </is>
      </c>
      <c r="B37" t="inlineStr">
        <is>
          <t>2024-03</t>
        </is>
      </c>
      <c r="C37" t="inlineStr">
        <is>
          <t>CC100</t>
        </is>
      </c>
      <c r="D37" t="inlineStr">
        <is>
          <t>Engineering</t>
        </is>
      </c>
      <c r="E37" t="inlineStr">
        <is>
          <t>6000</t>
        </is>
      </c>
      <c r="F37" t="inlineStr">
        <is>
          <t>Salaries and wages</t>
        </is>
      </c>
      <c r="G37" t="inlineStr">
        <is>
          <t>opex</t>
        </is>
      </c>
      <c r="H37" t="inlineStr">
        <is>
          <t>448400.00</t>
        </is>
      </c>
      <c r="I37" t="inlineStr"/>
    </row>
    <row r="38">
      <c r="A38" t="inlineStr">
        <is>
          <t>JE000037</t>
        </is>
      </c>
      <c r="B38" t="inlineStr">
        <is>
          <t>2024-03</t>
        </is>
      </c>
      <c r="C38" t="inlineStr">
        <is>
          <t>CC200</t>
        </is>
      </c>
      <c r="D38" t="inlineStr">
        <is>
          <t>Sales</t>
        </is>
      </c>
      <c r="E38" t="inlineStr">
        <is>
          <t>6000</t>
        </is>
      </c>
      <c r="F38" t="inlineStr">
        <is>
          <t>Salaries and wages</t>
        </is>
      </c>
      <c r="G38" t="inlineStr">
        <is>
          <t>opex</t>
        </is>
      </c>
      <c r="H38" t="inlineStr">
        <is>
          <t>131600.00</t>
        </is>
      </c>
      <c r="I38" t="inlineStr"/>
    </row>
    <row r="39">
      <c r="A39" t="inlineStr">
        <is>
          <t>JE000038</t>
        </is>
      </c>
      <c r="B39" t="inlineStr">
        <is>
          <t>2024-03</t>
        </is>
      </c>
      <c r="C39" t="inlineStr">
        <is>
          <t>CC300</t>
        </is>
      </c>
      <c r="D39" t="inlineStr">
        <is>
          <t>Marketing</t>
        </is>
      </c>
      <c r="E39" t="inlineStr">
        <is>
          <t>6000</t>
        </is>
      </c>
      <c r="F39" t="inlineStr">
        <is>
          <t>Salaries and wages</t>
        </is>
      </c>
      <c r="G39" t="inlineStr">
        <is>
          <t>opex</t>
        </is>
      </c>
      <c r="H39" t="inlineStr">
        <is>
          <t>53400.00</t>
        </is>
      </c>
      <c r="I39" t="inlineStr"/>
    </row>
    <row r="40">
      <c r="A40" t="inlineStr">
        <is>
          <t>JE000039</t>
        </is>
      </c>
      <c r="B40" t="inlineStr">
        <is>
          <t>2024-03</t>
        </is>
      </c>
      <c r="C40" t="inlineStr">
        <is>
          <t>CC400</t>
        </is>
      </c>
      <c r="D40" t="inlineStr">
        <is>
          <t>Customer support</t>
        </is>
      </c>
      <c r="E40" t="inlineStr">
        <is>
          <t>6000</t>
        </is>
      </c>
      <c r="F40" t="inlineStr">
        <is>
          <t>Salaries and wages</t>
        </is>
      </c>
      <c r="G40" t="inlineStr">
        <is>
          <t>opex</t>
        </is>
      </c>
      <c r="H40" t="inlineStr">
        <is>
          <t>106400.00</t>
        </is>
      </c>
      <c r="I40" t="inlineStr"/>
    </row>
    <row r="41">
      <c r="A41" t="inlineStr">
        <is>
          <t>JE000040</t>
        </is>
      </c>
      <c r="B41" t="inlineStr">
        <is>
          <t>2024-03</t>
        </is>
      </c>
      <c r="C41" t="inlineStr">
        <is>
          <t>CC500</t>
        </is>
      </c>
      <c r="D41" t="inlineStr">
        <is>
          <t>General and administrative</t>
        </is>
      </c>
      <c r="E41" t="inlineStr">
        <is>
          <t>6000</t>
        </is>
      </c>
      <c r="F41" t="inlineStr">
        <is>
          <t>Salaries and wages</t>
        </is>
      </c>
      <c r="G41" t="inlineStr">
        <is>
          <t>opex</t>
        </is>
      </c>
      <c r="H41" t="inlineStr">
        <is>
          <t>100100.00</t>
        </is>
      </c>
      <c r="I41" t="inlineStr"/>
    </row>
    <row r="42">
      <c r="A42" t="inlineStr">
        <is>
          <t>JE000041</t>
        </is>
      </c>
      <c r="B42" t="inlineStr">
        <is>
          <t>2024-03</t>
        </is>
      </c>
      <c r="C42" t="inlineStr">
        <is>
          <t>CC300</t>
        </is>
      </c>
      <c r="D42" t="inlineStr">
        <is>
          <t>Marketing</t>
        </is>
      </c>
      <c r="E42" t="inlineStr">
        <is>
          <t>6100</t>
        </is>
      </c>
      <c r="F42" t="inlineStr">
        <is>
          <t>Marketing programmes</t>
        </is>
      </c>
      <c r="G42" t="inlineStr">
        <is>
          <t>opex</t>
        </is>
      </c>
      <c r="H42" t="inlineStr">
        <is>
          <t>180000.00</t>
        </is>
      </c>
      <c r="I42" t="inlineStr"/>
    </row>
    <row r="43">
      <c r="A43" t="inlineStr">
        <is>
          <t>JE000042</t>
        </is>
      </c>
      <c r="B43" t="inlineStr">
        <is>
          <t>2024-03</t>
        </is>
      </c>
      <c r="C43" t="inlineStr">
        <is>
          <t>CC500</t>
        </is>
      </c>
      <c r="D43" t="inlineStr">
        <is>
          <t>General and administrative</t>
        </is>
      </c>
      <c r="E43" t="inlineStr">
        <is>
          <t>6200</t>
        </is>
      </c>
      <c r="F43" t="inlineStr">
        <is>
          <t>Facilities and administration</t>
        </is>
      </c>
      <c r="G43" t="inlineStr">
        <is>
          <t>opex</t>
        </is>
      </c>
      <c r="H43" t="inlineStr">
        <is>
          <t>148000.00</t>
        </is>
      </c>
      <c r="I43" t="inlineStr"/>
    </row>
    <row r="44">
      <c r="A44" t="inlineStr">
        <is>
          <t>JE000043</t>
        </is>
      </c>
      <c r="B44" t="inlineStr">
        <is>
          <t>2024-03</t>
        </is>
      </c>
      <c r="C44" t="inlineStr">
        <is>
          <t>CC900</t>
        </is>
      </c>
      <c r="D44" t="inlineStr">
        <is>
          <t>Corporate</t>
        </is>
      </c>
      <c r="E44" t="inlineStr">
        <is>
          <t>7000</t>
        </is>
      </c>
      <c r="F44" t="inlineStr">
        <is>
          <t>Depreciation</t>
        </is>
      </c>
      <c r="G44" t="inlineStr">
        <is>
          <t>other</t>
        </is>
      </c>
      <c r="H44" t="inlineStr">
        <is>
          <t>75040.01</t>
        </is>
      </c>
      <c r="I44" t="inlineStr"/>
    </row>
    <row r="45">
      <c r="A45" t="inlineStr">
        <is>
          <t>JE000044</t>
        </is>
      </c>
      <c r="B45" t="inlineStr">
        <is>
          <t>2024-03</t>
        </is>
      </c>
      <c r="C45" t="inlineStr">
        <is>
          <t>CC900</t>
        </is>
      </c>
      <c r="D45" t="inlineStr">
        <is>
          <t>Corporate</t>
        </is>
      </c>
      <c r="E45" t="inlineStr">
        <is>
          <t>8000</t>
        </is>
      </c>
      <c r="F45" t="inlineStr">
        <is>
          <t>Interest expense</t>
        </is>
      </c>
      <c r="G45" t="inlineStr">
        <is>
          <t>other</t>
        </is>
      </c>
      <c r="H45" t="inlineStr">
        <is>
          <t>45520.83</t>
        </is>
      </c>
      <c r="I45" t="inlineStr"/>
    </row>
    <row r="46">
      <c r="A46" t="inlineStr">
        <is>
          <t>JE000045</t>
        </is>
      </c>
      <c r="B46" t="inlineStr">
        <is>
          <t>2024-03</t>
        </is>
      </c>
      <c r="C46" t="inlineStr">
        <is>
          <t>CC900</t>
        </is>
      </c>
      <c r="D46" t="inlineStr">
        <is>
          <t>Corporate</t>
        </is>
      </c>
      <c r="E46" t="inlineStr">
        <is>
          <t>9000</t>
        </is>
      </c>
      <c r="F46" t="inlineStr">
        <is>
          <t>Income tax</t>
        </is>
      </c>
      <c r="G46" t="inlineStr">
        <is>
          <t>other</t>
        </is>
      </c>
      <c r="H46" t="inlineStr">
        <is>
          <t>0.00</t>
        </is>
      </c>
      <c r="I46" t="inlineStr"/>
    </row>
    <row r="47">
      <c r="A47" t="inlineStr">
        <is>
          <t>JE000046</t>
        </is>
      </c>
      <c r="B47" t="inlineStr">
        <is>
          <t>2024-04</t>
        </is>
      </c>
      <c r="C47" t="inlineStr">
        <is>
          <t>CC900</t>
        </is>
      </c>
      <c r="D47" t="inlineStr">
        <is>
          <t>Corporate</t>
        </is>
      </c>
      <c r="E47" t="inlineStr">
        <is>
          <t>4000</t>
        </is>
      </c>
      <c r="F47" t="inlineStr">
        <is>
          <t>Transaction fees</t>
        </is>
      </c>
      <c r="G47" t="inlineStr">
        <is>
          <t>revenue</t>
        </is>
      </c>
      <c r="H47" t="inlineStr">
        <is>
          <t>-1410087.79</t>
        </is>
      </c>
      <c r="I47" t="inlineStr"/>
    </row>
    <row r="48">
      <c r="A48" t="inlineStr">
        <is>
          <t>JE000047</t>
        </is>
      </c>
      <c r="B48" t="inlineStr">
        <is>
          <t>2024-04</t>
        </is>
      </c>
      <c r="C48" t="inlineStr">
        <is>
          <t>CC900</t>
        </is>
      </c>
      <c r="D48" t="inlineStr">
        <is>
          <t>Corporate</t>
        </is>
      </c>
      <c r="E48" t="inlineStr">
        <is>
          <t>4100</t>
        </is>
      </c>
      <c r="F48" t="inlineStr">
        <is>
          <t>Subscription fees</t>
        </is>
      </c>
      <c r="G48" t="inlineStr">
        <is>
          <t>revenue</t>
        </is>
      </c>
      <c r="H48" t="inlineStr">
        <is>
          <t>-538200.00</t>
        </is>
      </c>
      <c r="I48" t="inlineStr"/>
    </row>
    <row r="49">
      <c r="A49" t="inlineStr">
        <is>
          <t>JE000048</t>
        </is>
      </c>
      <c r="B49" t="inlineStr">
        <is>
          <t>2024-04</t>
        </is>
      </c>
      <c r="C49" t="inlineStr">
        <is>
          <t>CC900</t>
        </is>
      </c>
      <c r="D49" t="inlineStr">
        <is>
          <t>Corporate</t>
        </is>
      </c>
      <c r="E49" t="inlineStr">
        <is>
          <t>4200</t>
        </is>
      </c>
      <c r="F49" t="inlineStr">
        <is>
          <t>FX markup</t>
        </is>
      </c>
      <c r="G49" t="inlineStr">
        <is>
          <t>revenue</t>
        </is>
      </c>
      <c r="H49" t="inlineStr">
        <is>
          <t>-153164.71</t>
        </is>
      </c>
      <c r="I49" t="inlineStr"/>
    </row>
    <row r="50">
      <c r="A50" t="inlineStr">
        <is>
          <t>JE000049</t>
        </is>
      </c>
      <c r="B50" t="inlineStr">
        <is>
          <t>2024-04</t>
        </is>
      </c>
      <c r="C50" t="inlineStr">
        <is>
          <t>CC900</t>
        </is>
      </c>
      <c r="D50" t="inlineStr">
        <is>
          <t>Corporate</t>
        </is>
      </c>
      <c r="E50" t="inlineStr">
        <is>
          <t>5000</t>
        </is>
      </c>
      <c r="F50" t="inlineStr">
        <is>
          <t>Scheme and interchange costs</t>
        </is>
      </c>
      <c r="G50" t="inlineStr">
        <is>
          <t>cogs</t>
        </is>
      </c>
      <c r="H50" t="inlineStr">
        <is>
          <t>802291.33</t>
        </is>
      </c>
      <c r="I50" t="inlineStr"/>
    </row>
    <row r="51">
      <c r="A51" t="inlineStr">
        <is>
          <t>JE000050</t>
        </is>
      </c>
      <c r="B51" t="inlineStr">
        <is>
          <t>2024-04</t>
        </is>
      </c>
      <c r="C51" t="inlineStr">
        <is>
          <t>CC900</t>
        </is>
      </c>
      <c r="D51" t="inlineStr">
        <is>
          <t>Corporate</t>
        </is>
      </c>
      <c r="E51" t="inlineStr">
        <is>
          <t>5100</t>
        </is>
      </c>
      <c r="F51" t="inlineStr">
        <is>
          <t>Cloud hosting</t>
        </is>
      </c>
      <c r="G51" t="inlineStr">
        <is>
          <t>cogs</t>
        </is>
      </c>
      <c r="H51" t="inlineStr">
        <is>
          <t>89673.12</t>
        </is>
      </c>
      <c r="I51" t="inlineStr"/>
    </row>
    <row r="52">
      <c r="A52" t="inlineStr">
        <is>
          <t>JE000051</t>
        </is>
      </c>
      <c r="B52" t="inlineStr">
        <is>
          <t>2024-04</t>
        </is>
      </c>
      <c r="C52" t="inlineStr">
        <is>
          <t>CC100</t>
        </is>
      </c>
      <c r="D52" t="inlineStr">
        <is>
          <t>Engineering</t>
        </is>
      </c>
      <c r="E52" t="inlineStr">
        <is>
          <t>6000</t>
        </is>
      </c>
      <c r="F52" t="inlineStr">
        <is>
          <t>Salaries and wages</t>
        </is>
      </c>
      <c r="G52" t="inlineStr">
        <is>
          <t>opex</t>
        </is>
      </c>
      <c r="H52" t="inlineStr">
        <is>
          <t>472000.00</t>
        </is>
      </c>
      <c r="I52" t="inlineStr"/>
    </row>
    <row r="53">
      <c r="A53" t="inlineStr">
        <is>
          <t>JE000052</t>
        </is>
      </c>
      <c r="B53" t="inlineStr">
        <is>
          <t>2024-04</t>
        </is>
      </c>
      <c r="C53" t="inlineStr">
        <is>
          <t>CC200</t>
        </is>
      </c>
      <c r="D53" t="inlineStr">
        <is>
          <t>Sales</t>
        </is>
      </c>
      <c r="E53" t="inlineStr">
        <is>
          <t>6000</t>
        </is>
      </c>
      <c r="F53" t="inlineStr">
        <is>
          <t>Salaries and wages</t>
        </is>
      </c>
      <c r="G53" t="inlineStr">
        <is>
          <t>opex</t>
        </is>
      </c>
      <c r="H53" t="inlineStr">
        <is>
          <t>131600.00</t>
        </is>
      </c>
      <c r="I53" t="inlineStr"/>
    </row>
    <row r="54">
      <c r="A54" t="inlineStr">
        <is>
          <t>JE000053</t>
        </is>
      </c>
      <c r="B54" t="inlineStr">
        <is>
          <t>2024-04</t>
        </is>
      </c>
      <c r="C54" t="inlineStr">
        <is>
          <t>CC300</t>
        </is>
      </c>
      <c r="D54" t="inlineStr">
        <is>
          <t>Marketing</t>
        </is>
      </c>
      <c r="E54" t="inlineStr">
        <is>
          <t>6000</t>
        </is>
      </c>
      <c r="F54" t="inlineStr">
        <is>
          <t>Salaries and wages</t>
        </is>
      </c>
      <c r="G54" t="inlineStr">
        <is>
          <t>opex</t>
        </is>
      </c>
      <c r="H54" t="inlineStr">
        <is>
          <t>53400.00</t>
        </is>
      </c>
      <c r="I54" t="inlineStr"/>
    </row>
    <row r="55">
      <c r="A55" t="inlineStr">
        <is>
          <t>JE000054</t>
        </is>
      </c>
      <c r="B55" t="inlineStr">
        <is>
          <t>2024-04</t>
        </is>
      </c>
      <c r="C55" t="inlineStr">
        <is>
          <t>CC400</t>
        </is>
      </c>
      <c r="D55" t="inlineStr">
        <is>
          <t>Customer support</t>
        </is>
      </c>
      <c r="E55" t="inlineStr">
        <is>
          <t>6000</t>
        </is>
      </c>
      <c r="F55" t="inlineStr">
        <is>
          <t>Salaries and wages</t>
        </is>
      </c>
      <c r="G55" t="inlineStr">
        <is>
          <t>opex</t>
        </is>
      </c>
      <c r="H55" t="inlineStr">
        <is>
          <t>106400.00</t>
        </is>
      </c>
      <c r="I55" t="inlineStr"/>
    </row>
    <row r="56">
      <c r="A56" t="inlineStr">
        <is>
          <t>JE000055</t>
        </is>
      </c>
      <c r="B56" t="inlineStr">
        <is>
          <t>2024-04</t>
        </is>
      </c>
      <c r="C56" t="inlineStr">
        <is>
          <t>CC500</t>
        </is>
      </c>
      <c r="D56" t="inlineStr">
        <is>
          <t>General and administrative</t>
        </is>
      </c>
      <c r="E56" t="inlineStr">
        <is>
          <t>6000</t>
        </is>
      </c>
      <c r="F56" t="inlineStr">
        <is>
          <t>Salaries and wages</t>
        </is>
      </c>
      <c r="G56" t="inlineStr">
        <is>
          <t>opex</t>
        </is>
      </c>
      <c r="H56" t="inlineStr">
        <is>
          <t>100100.00</t>
        </is>
      </c>
      <c r="I56" t="inlineStr"/>
    </row>
    <row r="57">
      <c r="A57" t="inlineStr">
        <is>
          <t>JE000056</t>
        </is>
      </c>
      <c r="B57" t="inlineStr">
        <is>
          <t>2024-04</t>
        </is>
      </c>
      <c r="C57" t="inlineStr">
        <is>
          <t>CC300</t>
        </is>
      </c>
      <c r="D57" t="inlineStr">
        <is>
          <t>Marketing</t>
        </is>
      </c>
      <c r="E57" t="inlineStr">
        <is>
          <t>6100</t>
        </is>
      </c>
      <c r="F57" t="inlineStr">
        <is>
          <t>Marketing programmes</t>
        </is>
      </c>
      <c r="G57" t="inlineStr">
        <is>
          <t>opex</t>
        </is>
      </c>
      <c r="H57" t="inlineStr">
        <is>
          <t>180000.00</t>
        </is>
      </c>
      <c r="I57" t="inlineStr"/>
    </row>
    <row r="58">
      <c r="A58" t="inlineStr">
        <is>
          <t>JE000057</t>
        </is>
      </c>
      <c r="B58" t="inlineStr">
        <is>
          <t>2024-04</t>
        </is>
      </c>
      <c r="C58" t="inlineStr">
        <is>
          <t>CC500</t>
        </is>
      </c>
      <c r="D58" t="inlineStr">
        <is>
          <t>General and administrative</t>
        </is>
      </c>
      <c r="E58" t="inlineStr">
        <is>
          <t>6200</t>
        </is>
      </c>
      <c r="F58" t="inlineStr">
        <is>
          <t>Facilities and administration</t>
        </is>
      </c>
      <c r="G58" t="inlineStr">
        <is>
          <t>opex</t>
        </is>
      </c>
      <c r="H58" t="inlineStr">
        <is>
          <t>148000.00</t>
        </is>
      </c>
      <c r="I58" t="inlineStr"/>
    </row>
    <row r="59">
      <c r="A59" t="inlineStr">
        <is>
          <t>JE000058</t>
        </is>
      </c>
      <c r="B59" t="inlineStr">
        <is>
          <t>2024-04</t>
        </is>
      </c>
      <c r="C59" t="inlineStr">
        <is>
          <t>CC900</t>
        </is>
      </c>
      <c r="D59" t="inlineStr">
        <is>
          <t>Corporate</t>
        </is>
      </c>
      <c r="E59" t="inlineStr">
        <is>
          <t>7000</t>
        </is>
      </c>
      <c r="F59" t="inlineStr">
        <is>
          <t>Depreciation</t>
        </is>
      </c>
      <c r="G59" t="inlineStr">
        <is>
          <t>other</t>
        </is>
      </c>
      <c r="H59" t="inlineStr">
        <is>
          <t>76096.57</t>
        </is>
      </c>
      <c r="I59" t="inlineStr"/>
    </row>
    <row r="60">
      <c r="A60" t="inlineStr">
        <is>
          <t>JE000059</t>
        </is>
      </c>
      <c r="B60" t="inlineStr">
        <is>
          <t>2024-04</t>
        </is>
      </c>
      <c r="C60" t="inlineStr">
        <is>
          <t>CC900</t>
        </is>
      </c>
      <c r="D60" t="inlineStr">
        <is>
          <t>Corporate</t>
        </is>
      </c>
      <c r="E60" t="inlineStr">
        <is>
          <t>8000</t>
        </is>
      </c>
      <c r="F60" t="inlineStr">
        <is>
          <t>Interest expense</t>
        </is>
      </c>
      <c r="G60" t="inlineStr">
        <is>
          <t>other</t>
        </is>
      </c>
      <c r="H60" t="inlineStr">
        <is>
          <t>44531.25</t>
        </is>
      </c>
      <c r="I60" t="inlineStr"/>
    </row>
    <row r="61">
      <c r="A61" t="inlineStr">
        <is>
          <t>JE000060</t>
        </is>
      </c>
      <c r="B61" t="inlineStr">
        <is>
          <t>2024-04</t>
        </is>
      </c>
      <c r="C61" t="inlineStr">
        <is>
          <t>CC900</t>
        </is>
      </c>
      <c r="D61" t="inlineStr">
        <is>
          <t>Corporate</t>
        </is>
      </c>
      <c r="E61" t="inlineStr">
        <is>
          <t>9000</t>
        </is>
      </c>
      <c r="F61" t="inlineStr">
        <is>
          <t>Income tax</t>
        </is>
      </c>
      <c r="G61" t="inlineStr">
        <is>
          <t>other</t>
        </is>
      </c>
      <c r="H61" t="inlineStr">
        <is>
          <t>0.00</t>
        </is>
      </c>
      <c r="I61" t="inlineStr"/>
    </row>
    <row r="62">
      <c r="A62" t="inlineStr">
        <is>
          <t>JE000061</t>
        </is>
      </c>
      <c r="B62" t="inlineStr">
        <is>
          <t>2024-05</t>
        </is>
      </c>
      <c r="C62" t="inlineStr">
        <is>
          <t>CC900</t>
        </is>
      </c>
      <c r="D62" t="inlineStr">
        <is>
          <t>Corporate</t>
        </is>
      </c>
      <c r="E62" t="inlineStr">
        <is>
          <t>4000</t>
        </is>
      </c>
      <c r="F62" t="inlineStr">
        <is>
          <t>Transaction fees</t>
        </is>
      </c>
      <c r="G62" t="inlineStr">
        <is>
          <t>revenue</t>
        </is>
      </c>
      <c r="H62" t="inlineStr">
        <is>
          <t>-1510525.81</t>
        </is>
      </c>
      <c r="I62" t="inlineStr"/>
    </row>
    <row r="63">
      <c r="A63" t="inlineStr">
        <is>
          <t>JE000062</t>
        </is>
      </c>
      <c r="B63" t="inlineStr">
        <is>
          <t>2024-05</t>
        </is>
      </c>
      <c r="C63" t="inlineStr">
        <is>
          <t>CC900</t>
        </is>
      </c>
      <c r="D63" t="inlineStr">
        <is>
          <t>Corporate</t>
        </is>
      </c>
      <c r="E63" t="inlineStr">
        <is>
          <t>4100</t>
        </is>
      </c>
      <c r="F63" t="inlineStr">
        <is>
          <t>Subscription fees</t>
        </is>
      </c>
      <c r="G63" t="inlineStr">
        <is>
          <t>revenue</t>
        </is>
      </c>
      <c r="H63" t="inlineStr">
        <is>
          <t>-550800.00</t>
        </is>
      </c>
      <c r="I63" t="inlineStr"/>
    </row>
    <row r="64">
      <c r="A64" t="inlineStr">
        <is>
          <t>JE000063</t>
        </is>
      </c>
      <c r="B64" t="inlineStr">
        <is>
          <t>2024-05</t>
        </is>
      </c>
      <c r="C64" t="inlineStr">
        <is>
          <t>CC900</t>
        </is>
      </c>
      <c r="D64" t="inlineStr">
        <is>
          <t>Corporate</t>
        </is>
      </c>
      <c r="E64" t="inlineStr">
        <is>
          <t>4200</t>
        </is>
      </c>
      <c r="F64" t="inlineStr">
        <is>
          <t>FX markup</t>
        </is>
      </c>
      <c r="G64" t="inlineStr">
        <is>
          <t>revenue</t>
        </is>
      </c>
      <c r="H64" t="inlineStr">
        <is>
          <t>-164074.36</t>
        </is>
      </c>
      <c r="I64" t="inlineStr"/>
    </row>
    <row r="65">
      <c r="A65" t="inlineStr">
        <is>
          <t>JE000064</t>
        </is>
      </c>
      <c r="B65" t="inlineStr">
        <is>
          <t>2024-05</t>
        </is>
      </c>
      <c r="C65" t="inlineStr">
        <is>
          <t>CC900</t>
        </is>
      </c>
      <c r="D65" t="inlineStr">
        <is>
          <t>Corporate</t>
        </is>
      </c>
      <c r="E65" t="inlineStr">
        <is>
          <t>5000</t>
        </is>
      </c>
      <c r="F65" t="inlineStr">
        <is>
          <t>Scheme and interchange costs</t>
        </is>
      </c>
      <c r="G65" t="inlineStr">
        <is>
          <t>cogs</t>
        </is>
      </c>
      <c r="H65" t="inlineStr">
        <is>
          <t>859437.10</t>
        </is>
      </c>
      <c r="I65" t="inlineStr"/>
    </row>
    <row r="66">
      <c r="A66" t="inlineStr">
        <is>
          <t>JE000065</t>
        </is>
      </c>
      <c r="B66" t="inlineStr">
        <is>
          <t>2024-05</t>
        </is>
      </c>
      <c r="C66" t="inlineStr">
        <is>
          <t>CC900</t>
        </is>
      </c>
      <c r="D66" t="inlineStr">
        <is>
          <t>Corporate</t>
        </is>
      </c>
      <c r="E66" t="inlineStr">
        <is>
          <t>5100</t>
        </is>
      </c>
      <c r="F66" t="inlineStr">
        <is>
          <t>Cloud hosting</t>
        </is>
      </c>
      <c r="G66" t="inlineStr">
        <is>
          <t>cogs</t>
        </is>
      </c>
      <c r="H66" t="inlineStr">
        <is>
          <t>91287.23</t>
        </is>
      </c>
      <c r="I66" t="inlineStr"/>
    </row>
    <row r="67">
      <c r="A67" t="inlineStr">
        <is>
          <t>JE000066</t>
        </is>
      </c>
      <c r="B67" t="inlineStr">
        <is>
          <t>2024-05</t>
        </is>
      </c>
      <c r="C67" t="inlineStr">
        <is>
          <t>CC100</t>
        </is>
      </c>
      <c r="D67" t="inlineStr">
        <is>
          <t>Engineering</t>
        </is>
      </c>
      <c r="E67" t="inlineStr">
        <is>
          <t>6000</t>
        </is>
      </c>
      <c r="F67" t="inlineStr">
        <is>
          <t>Salaries and wages</t>
        </is>
      </c>
      <c r="G67" t="inlineStr">
        <is>
          <t>opex</t>
        </is>
      </c>
      <c r="H67" t="inlineStr">
        <is>
          <t>472000.00</t>
        </is>
      </c>
      <c r="I67" t="inlineStr"/>
    </row>
    <row r="68">
      <c r="A68" t="inlineStr">
        <is>
          <t>JE000067</t>
        </is>
      </c>
      <c r="B68" t="inlineStr">
        <is>
          <t>2024-05</t>
        </is>
      </c>
      <c r="C68" t="inlineStr">
        <is>
          <t>CC200</t>
        </is>
      </c>
      <c r="D68" t="inlineStr">
        <is>
          <t>Sales</t>
        </is>
      </c>
      <c r="E68" t="inlineStr">
        <is>
          <t>6000</t>
        </is>
      </c>
      <c r="F68" t="inlineStr">
        <is>
          <t>Salaries and wages</t>
        </is>
      </c>
      <c r="G68" t="inlineStr">
        <is>
          <t>opex</t>
        </is>
      </c>
      <c r="H68" t="inlineStr">
        <is>
          <t>131600.00</t>
        </is>
      </c>
      <c r="I68" t="inlineStr"/>
    </row>
    <row r="69">
      <c r="A69" t="inlineStr">
        <is>
          <t>JE000068</t>
        </is>
      </c>
      <c r="B69" t="inlineStr">
        <is>
          <t>2024-05</t>
        </is>
      </c>
      <c r="C69" t="inlineStr">
        <is>
          <t>CC300</t>
        </is>
      </c>
      <c r="D69" t="inlineStr">
        <is>
          <t>Marketing</t>
        </is>
      </c>
      <c r="E69" t="inlineStr">
        <is>
          <t>6000</t>
        </is>
      </c>
      <c r="F69" t="inlineStr">
        <is>
          <t>Salaries and wages</t>
        </is>
      </c>
      <c r="G69" t="inlineStr">
        <is>
          <t>opex</t>
        </is>
      </c>
      <c r="H69" t="inlineStr">
        <is>
          <t>53400.00</t>
        </is>
      </c>
      <c r="I69" t="inlineStr"/>
    </row>
    <row r="70">
      <c r="A70" t="inlineStr">
        <is>
          <t>JE000069</t>
        </is>
      </c>
      <c r="B70" t="inlineStr">
        <is>
          <t>2024-05</t>
        </is>
      </c>
      <c r="C70" t="inlineStr">
        <is>
          <t>CC400</t>
        </is>
      </c>
      <c r="D70" t="inlineStr">
        <is>
          <t>Customer support</t>
        </is>
      </c>
      <c r="E70" t="inlineStr">
        <is>
          <t>6000</t>
        </is>
      </c>
      <c r="F70" t="inlineStr">
        <is>
          <t>Salaries and wages</t>
        </is>
      </c>
      <c r="G70" t="inlineStr">
        <is>
          <t>opex</t>
        </is>
      </c>
      <c r="H70" t="inlineStr">
        <is>
          <t>117600.00</t>
        </is>
      </c>
      <c r="I70" t="inlineStr"/>
    </row>
    <row r="71">
      <c r="A71" t="inlineStr">
        <is>
          <t>JE000070</t>
        </is>
      </c>
      <c r="B71" t="inlineStr">
        <is>
          <t>2024-05</t>
        </is>
      </c>
      <c r="C71" t="inlineStr">
        <is>
          <t>CC500</t>
        </is>
      </c>
      <c r="D71" t="inlineStr">
        <is>
          <t>General and administrative</t>
        </is>
      </c>
      <c r="E71" t="inlineStr">
        <is>
          <t>6000</t>
        </is>
      </c>
      <c r="F71" t="inlineStr">
        <is>
          <t>Salaries and wages</t>
        </is>
      </c>
      <c r="G71" t="inlineStr">
        <is>
          <t>opex</t>
        </is>
      </c>
      <c r="H71" t="inlineStr">
        <is>
          <t>100100.00</t>
        </is>
      </c>
      <c r="I71" t="inlineStr"/>
    </row>
    <row r="72">
      <c r="A72" t="inlineStr">
        <is>
          <t>JE000071</t>
        </is>
      </c>
      <c r="B72" t="inlineStr">
        <is>
          <t>2024-05</t>
        </is>
      </c>
      <c r="C72" t="inlineStr">
        <is>
          <t>CC300</t>
        </is>
      </c>
      <c r="D72" t="inlineStr">
        <is>
          <t>Marketing</t>
        </is>
      </c>
      <c r="E72" t="inlineStr">
        <is>
          <t>6100</t>
        </is>
      </c>
      <c r="F72" t="inlineStr">
        <is>
          <t>Marketing programmes</t>
        </is>
      </c>
      <c r="G72" t="inlineStr">
        <is>
          <t>opex</t>
        </is>
      </c>
      <c r="H72" t="inlineStr">
        <is>
          <t>180000.00</t>
        </is>
      </c>
      <c r="I72" t="inlineStr"/>
    </row>
    <row r="73">
      <c r="A73" t="inlineStr">
        <is>
          <t>JE000072</t>
        </is>
      </c>
      <c r="B73" t="inlineStr">
        <is>
          <t>2024-05</t>
        </is>
      </c>
      <c r="C73" t="inlineStr">
        <is>
          <t>CC500</t>
        </is>
      </c>
      <c r="D73" t="inlineStr">
        <is>
          <t>General and administrative</t>
        </is>
      </c>
      <c r="E73" t="inlineStr">
        <is>
          <t>6200</t>
        </is>
      </c>
      <c r="F73" t="inlineStr">
        <is>
          <t>Facilities and administration</t>
        </is>
      </c>
      <c r="G73" t="inlineStr">
        <is>
          <t>opex</t>
        </is>
      </c>
      <c r="H73" t="inlineStr">
        <is>
          <t>148000.00</t>
        </is>
      </c>
      <c r="I73" t="inlineStr"/>
    </row>
    <row r="74">
      <c r="A74" t="inlineStr">
        <is>
          <t>JE000073</t>
        </is>
      </c>
      <c r="B74" t="inlineStr">
        <is>
          <t>2024-05</t>
        </is>
      </c>
      <c r="C74" t="inlineStr">
        <is>
          <t>CC900</t>
        </is>
      </c>
      <c r="D74" t="inlineStr">
        <is>
          <t>Corporate</t>
        </is>
      </c>
      <c r="E74" t="inlineStr">
        <is>
          <t>7000</t>
        </is>
      </c>
      <c r="F74" t="inlineStr">
        <is>
          <t>Depreciation</t>
        </is>
      </c>
      <c r="G74" t="inlineStr">
        <is>
          <t>other</t>
        </is>
      </c>
      <c r="H74" t="inlineStr">
        <is>
          <t>77128.30</t>
        </is>
      </c>
      <c r="I74" t="inlineStr"/>
    </row>
    <row r="75">
      <c r="A75" t="inlineStr">
        <is>
          <t>JE000074</t>
        </is>
      </c>
      <c r="B75" t="inlineStr">
        <is>
          <t>2024-05</t>
        </is>
      </c>
      <c r="C75" t="inlineStr">
        <is>
          <t>CC900</t>
        </is>
      </c>
      <c r="D75" t="inlineStr">
        <is>
          <t>Corporate</t>
        </is>
      </c>
      <c r="E75" t="inlineStr">
        <is>
          <t>8000</t>
        </is>
      </c>
      <c r="F75" t="inlineStr">
        <is>
          <t>Interest expense</t>
        </is>
      </c>
      <c r="G75" t="inlineStr">
        <is>
          <t>other</t>
        </is>
      </c>
      <c r="H75" t="inlineStr">
        <is>
          <t>43541.67</t>
        </is>
      </c>
      <c r="I75" t="inlineStr"/>
    </row>
    <row r="76">
      <c r="A76" t="inlineStr">
        <is>
          <t>JE000075</t>
        </is>
      </c>
      <c r="B76" t="inlineStr">
        <is>
          <t>2024-05</t>
        </is>
      </c>
      <c r="C76" t="inlineStr">
        <is>
          <t>CC900</t>
        </is>
      </c>
      <c r="D76" t="inlineStr">
        <is>
          <t>Corporate</t>
        </is>
      </c>
      <c r="E76" t="inlineStr">
        <is>
          <t>9000</t>
        </is>
      </c>
      <c r="F76" t="inlineStr">
        <is>
          <t>Income tax</t>
        </is>
      </c>
      <c r="G76" t="inlineStr">
        <is>
          <t>other</t>
        </is>
      </c>
      <c r="H76" t="inlineStr">
        <is>
          <t>0.00</t>
        </is>
      </c>
      <c r="I76" t="inlineStr"/>
    </row>
    <row r="77">
      <c r="A77" t="inlineStr">
        <is>
          <t>JE000076</t>
        </is>
      </c>
      <c r="B77" t="inlineStr">
        <is>
          <t>2024-06</t>
        </is>
      </c>
      <c r="C77" t="inlineStr">
        <is>
          <t>CC900</t>
        </is>
      </c>
      <c r="D77" t="inlineStr">
        <is>
          <t>Corporate</t>
        </is>
      </c>
      <c r="E77" t="inlineStr">
        <is>
          <t>4000</t>
        </is>
      </c>
      <c r="F77" t="inlineStr">
        <is>
          <t>Transaction fees</t>
        </is>
      </c>
      <c r="G77" t="inlineStr">
        <is>
          <t>revenue</t>
        </is>
      </c>
      <c r="H77" t="inlineStr">
        <is>
          <t>-1556996.59</t>
        </is>
      </c>
      <c r="I77" t="inlineStr"/>
    </row>
    <row r="78">
      <c r="A78" t="inlineStr">
        <is>
          <t>JE000077</t>
        </is>
      </c>
      <c r="B78" t="inlineStr">
        <is>
          <t>2024-06</t>
        </is>
      </c>
      <c r="C78" t="inlineStr">
        <is>
          <t>CC900</t>
        </is>
      </c>
      <c r="D78" t="inlineStr">
        <is>
          <t>Corporate</t>
        </is>
      </c>
      <c r="E78" t="inlineStr">
        <is>
          <t>4100</t>
        </is>
      </c>
      <c r="F78" t="inlineStr">
        <is>
          <t>Subscription fees</t>
        </is>
      </c>
      <c r="G78" t="inlineStr">
        <is>
          <t>revenue</t>
        </is>
      </c>
      <c r="H78" t="inlineStr">
        <is>
          <t>-561600.00</t>
        </is>
      </c>
      <c r="I78" t="inlineStr"/>
    </row>
    <row r="79">
      <c r="A79" t="inlineStr">
        <is>
          <t>JE000078</t>
        </is>
      </c>
      <c r="B79" t="inlineStr">
        <is>
          <t>2024-06</t>
        </is>
      </c>
      <c r="C79" t="inlineStr">
        <is>
          <t>CC900</t>
        </is>
      </c>
      <c r="D79" t="inlineStr">
        <is>
          <t>Corporate</t>
        </is>
      </c>
      <c r="E79" t="inlineStr">
        <is>
          <t>4200</t>
        </is>
      </c>
      <c r="F79" t="inlineStr">
        <is>
          <t>FX markup</t>
        </is>
      </c>
      <c r="G79" t="inlineStr">
        <is>
          <t>revenue</t>
        </is>
      </c>
      <c r="H79" t="inlineStr">
        <is>
          <t>-169122.04</t>
        </is>
      </c>
      <c r="I79" t="inlineStr"/>
    </row>
    <row r="80">
      <c r="A80" t="inlineStr">
        <is>
          <t>JE000079</t>
        </is>
      </c>
      <c r="B80" t="inlineStr">
        <is>
          <t>2024-06</t>
        </is>
      </c>
      <c r="C80" t="inlineStr">
        <is>
          <t>CC900</t>
        </is>
      </c>
      <c r="D80" t="inlineStr">
        <is>
          <t>Corporate</t>
        </is>
      </c>
      <c r="E80" t="inlineStr">
        <is>
          <t>5000</t>
        </is>
      </c>
      <c r="F80" t="inlineStr">
        <is>
          <t>Scheme and interchange costs</t>
        </is>
      </c>
      <c r="G80" t="inlineStr">
        <is>
          <t>cogs</t>
        </is>
      </c>
      <c r="H80" t="inlineStr">
        <is>
          <t>885877.37</t>
        </is>
      </c>
      <c r="I80" t="inlineStr"/>
    </row>
    <row r="81">
      <c r="A81" t="inlineStr">
        <is>
          <t>JE000080</t>
        </is>
      </c>
      <c r="B81" t="inlineStr">
        <is>
          <t>2024-06</t>
        </is>
      </c>
      <c r="C81" t="inlineStr">
        <is>
          <t>CC900</t>
        </is>
      </c>
      <c r="D81" t="inlineStr">
        <is>
          <t>Corporate</t>
        </is>
      </c>
      <c r="E81" t="inlineStr">
        <is>
          <t>5100</t>
        </is>
      </c>
      <c r="F81" t="inlineStr">
        <is>
          <t>Cloud hosting</t>
        </is>
      </c>
      <c r="G81" t="inlineStr">
        <is>
          <t>cogs</t>
        </is>
      </c>
      <c r="H81" t="inlineStr">
        <is>
          <t>92930.40</t>
        </is>
      </c>
      <c r="I81" t="inlineStr"/>
    </row>
    <row r="82">
      <c r="A82" t="inlineStr">
        <is>
          <t>JE000081</t>
        </is>
      </c>
      <c r="B82" t="inlineStr">
        <is>
          <t>2024-06</t>
        </is>
      </c>
      <c r="C82" t="inlineStr">
        <is>
          <t>CC100</t>
        </is>
      </c>
      <c r="D82" t="inlineStr">
        <is>
          <t>Engineering</t>
        </is>
      </c>
      <c r="E82" t="inlineStr">
        <is>
          <t>6000</t>
        </is>
      </c>
      <c r="F82" t="inlineStr">
        <is>
          <t>Salaries and wages</t>
        </is>
      </c>
      <c r="G82" t="inlineStr">
        <is>
          <t>opex</t>
        </is>
      </c>
      <c r="H82" t="inlineStr">
        <is>
          <t>472000.00</t>
        </is>
      </c>
      <c r="I82" t="inlineStr"/>
    </row>
    <row r="83">
      <c r="A83" t="inlineStr">
        <is>
          <t>JE000082</t>
        </is>
      </c>
      <c r="B83" t="inlineStr">
        <is>
          <t>2024-06</t>
        </is>
      </c>
      <c r="C83" t="inlineStr">
        <is>
          <t>CC200</t>
        </is>
      </c>
      <c r="D83" t="inlineStr">
        <is>
          <t>Sales</t>
        </is>
      </c>
      <c r="E83" t="inlineStr">
        <is>
          <t>6000</t>
        </is>
      </c>
      <c r="F83" t="inlineStr">
        <is>
          <t>Salaries and wages</t>
        </is>
      </c>
      <c r="G83" t="inlineStr">
        <is>
          <t>opex</t>
        </is>
      </c>
      <c r="H83" t="inlineStr">
        <is>
          <t>150400.00</t>
        </is>
      </c>
      <c r="I83" t="inlineStr"/>
    </row>
    <row r="84">
      <c r="A84" t="inlineStr">
        <is>
          <t>JE000083</t>
        </is>
      </c>
      <c r="B84" t="inlineStr">
        <is>
          <t>2024-06</t>
        </is>
      </c>
      <c r="C84" t="inlineStr">
        <is>
          <t>CC300</t>
        </is>
      </c>
      <c r="D84" t="inlineStr">
        <is>
          <t>Marketing</t>
        </is>
      </c>
      <c r="E84" t="inlineStr">
        <is>
          <t>6000</t>
        </is>
      </c>
      <c r="F84" t="inlineStr">
        <is>
          <t>Salaries and wages</t>
        </is>
      </c>
      <c r="G84" t="inlineStr">
        <is>
          <t>opex</t>
        </is>
      </c>
      <c r="H84" t="inlineStr">
        <is>
          <t>53400.00</t>
        </is>
      </c>
      <c r="I84" t="inlineStr"/>
    </row>
    <row r="85">
      <c r="A85" t="inlineStr">
        <is>
          <t>JE000084</t>
        </is>
      </c>
      <c r="B85" t="inlineStr">
        <is>
          <t>2024-06</t>
        </is>
      </c>
      <c r="C85" t="inlineStr">
        <is>
          <t>CC400</t>
        </is>
      </c>
      <c r="D85" t="inlineStr">
        <is>
          <t>Customer support</t>
        </is>
      </c>
      <c r="E85" t="inlineStr">
        <is>
          <t>6000</t>
        </is>
      </c>
      <c r="F85" t="inlineStr">
        <is>
          <t>Salaries and wages</t>
        </is>
      </c>
      <c r="G85" t="inlineStr">
        <is>
          <t>opex</t>
        </is>
      </c>
      <c r="H85" t="inlineStr">
        <is>
          <t>117600.00</t>
        </is>
      </c>
      <c r="I85" t="inlineStr"/>
    </row>
    <row r="86">
      <c r="A86" t="inlineStr">
        <is>
          <t>JE000085</t>
        </is>
      </c>
      <c r="B86" t="inlineStr">
        <is>
          <t>2024-06</t>
        </is>
      </c>
      <c r="C86" t="inlineStr">
        <is>
          <t>CC500</t>
        </is>
      </c>
      <c r="D86" t="inlineStr">
        <is>
          <t>General and administrative</t>
        </is>
      </c>
      <c r="E86" t="inlineStr">
        <is>
          <t>6000</t>
        </is>
      </c>
      <c r="F86" t="inlineStr">
        <is>
          <t>Salaries and wages</t>
        </is>
      </c>
      <c r="G86" t="inlineStr">
        <is>
          <t>opex</t>
        </is>
      </c>
      <c r="H86" t="inlineStr">
        <is>
          <t>100100.00</t>
        </is>
      </c>
      <c r="I86" t="inlineStr"/>
    </row>
    <row r="87">
      <c r="A87" t="inlineStr">
        <is>
          <t>JE000086</t>
        </is>
      </c>
      <c r="B87" t="inlineStr">
        <is>
          <t>2024-06</t>
        </is>
      </c>
      <c r="C87" t="inlineStr">
        <is>
          <t>CC300</t>
        </is>
      </c>
      <c r="D87" t="inlineStr">
        <is>
          <t>Marketing</t>
        </is>
      </c>
      <c r="E87" t="inlineStr">
        <is>
          <t>6100</t>
        </is>
      </c>
      <c r="F87" t="inlineStr">
        <is>
          <t>Marketing programmes</t>
        </is>
      </c>
      <c r="G87" t="inlineStr">
        <is>
          <t>opex</t>
        </is>
      </c>
      <c r="H87" t="inlineStr">
        <is>
          <t>180000.00</t>
        </is>
      </c>
      <c r="I87" t="inlineStr"/>
    </row>
    <row r="88">
      <c r="A88" t="inlineStr">
        <is>
          <t>JE000087</t>
        </is>
      </c>
      <c r="B88" t="inlineStr">
        <is>
          <t>2024-06</t>
        </is>
      </c>
      <c r="C88" t="inlineStr">
        <is>
          <t>CC500</t>
        </is>
      </c>
      <c r="D88" t="inlineStr">
        <is>
          <t>General and administrative</t>
        </is>
      </c>
      <c r="E88" t="inlineStr">
        <is>
          <t>6200</t>
        </is>
      </c>
      <c r="F88" t="inlineStr">
        <is>
          <t>Facilities and administration</t>
        </is>
      </c>
      <c r="G88" t="inlineStr">
        <is>
          <t>opex</t>
        </is>
      </c>
      <c r="H88" t="inlineStr">
        <is>
          <t>148000.00</t>
        </is>
      </c>
      <c r="I88" t="inlineStr"/>
    </row>
    <row r="89">
      <c r="A89" t="inlineStr">
        <is>
          <t>JE000088</t>
        </is>
      </c>
      <c r="B89" t="inlineStr">
        <is>
          <t>2024-06</t>
        </is>
      </c>
      <c r="C89" t="inlineStr">
        <is>
          <t>CC900</t>
        </is>
      </c>
      <c r="D89" t="inlineStr">
        <is>
          <t>Corporate</t>
        </is>
      </c>
      <c r="E89" t="inlineStr">
        <is>
          <t>7000</t>
        </is>
      </c>
      <c r="F89" t="inlineStr">
        <is>
          <t>Depreciation</t>
        </is>
      </c>
      <c r="G89" t="inlineStr">
        <is>
          <t>other</t>
        </is>
      </c>
      <c r="H89" t="inlineStr">
        <is>
          <t>78135.79</t>
        </is>
      </c>
      <c r="I89" t="inlineStr"/>
    </row>
    <row r="90">
      <c r="A90" t="inlineStr">
        <is>
          <t>JE000089</t>
        </is>
      </c>
      <c r="B90" t="inlineStr">
        <is>
          <t>2024-06</t>
        </is>
      </c>
      <c r="C90" t="inlineStr">
        <is>
          <t>CC900</t>
        </is>
      </c>
      <c r="D90" t="inlineStr">
        <is>
          <t>Corporate</t>
        </is>
      </c>
      <c r="E90" t="inlineStr">
        <is>
          <t>8000</t>
        </is>
      </c>
      <c r="F90" t="inlineStr">
        <is>
          <t>Interest expense</t>
        </is>
      </c>
      <c r="G90" t="inlineStr">
        <is>
          <t>other</t>
        </is>
      </c>
      <c r="H90" t="inlineStr">
        <is>
          <t>42552.08</t>
        </is>
      </c>
      <c r="I90" t="inlineStr"/>
    </row>
    <row r="91">
      <c r="A91" t="inlineStr">
        <is>
          <t>JE000090</t>
        </is>
      </c>
      <c r="B91" t="inlineStr">
        <is>
          <t>2024-06</t>
        </is>
      </c>
      <c r="C91" t="inlineStr">
        <is>
          <t>CC900</t>
        </is>
      </c>
      <c r="D91" t="inlineStr">
        <is>
          <t>Corporate</t>
        </is>
      </c>
      <c r="E91" t="inlineStr">
        <is>
          <t>9000</t>
        </is>
      </c>
      <c r="F91" t="inlineStr">
        <is>
          <t>Income tax</t>
        </is>
      </c>
      <c r="G91" t="inlineStr">
        <is>
          <t>other</t>
        </is>
      </c>
      <c r="H91" t="inlineStr">
        <is>
          <t>0.00</t>
        </is>
      </c>
      <c r="I91" t="inlineStr"/>
    </row>
    <row r="92">
      <c r="A92" t="inlineStr">
        <is>
          <t>JE000091</t>
        </is>
      </c>
      <c r="B92" t="inlineStr">
        <is>
          <t>2024-07</t>
        </is>
      </c>
      <c r="C92" t="inlineStr">
        <is>
          <t>CC900</t>
        </is>
      </c>
      <c r="D92" t="inlineStr">
        <is>
          <t>Corporate</t>
        </is>
      </c>
      <c r="E92" t="inlineStr">
        <is>
          <t>4000</t>
        </is>
      </c>
      <c r="F92" t="inlineStr">
        <is>
          <t>Transaction fees</t>
        </is>
      </c>
      <c r="G92" t="inlineStr">
        <is>
          <t>revenue</t>
        </is>
      </c>
      <c r="H92" t="inlineStr">
        <is>
          <t>-1537784.35</t>
        </is>
      </c>
      <c r="I92" t="inlineStr"/>
    </row>
    <row r="93">
      <c r="A93" t="inlineStr">
        <is>
          <t>JE000092</t>
        </is>
      </c>
      <c r="B93" t="inlineStr">
        <is>
          <t>2024-07</t>
        </is>
      </c>
      <c r="C93" t="inlineStr">
        <is>
          <t>CC900</t>
        </is>
      </c>
      <c r="D93" t="inlineStr">
        <is>
          <t>Corporate</t>
        </is>
      </c>
      <c r="E93" t="inlineStr">
        <is>
          <t>4100</t>
        </is>
      </c>
      <c r="F93" t="inlineStr">
        <is>
          <t>Subscription fees</t>
        </is>
      </c>
      <c r="G93" t="inlineStr">
        <is>
          <t>revenue</t>
        </is>
      </c>
      <c r="H93" t="inlineStr">
        <is>
          <t>-565200.00</t>
        </is>
      </c>
      <c r="I93" t="inlineStr"/>
    </row>
    <row r="94">
      <c r="A94" t="inlineStr">
        <is>
          <t>JE000093</t>
        </is>
      </c>
      <c r="B94" t="inlineStr">
        <is>
          <t>2024-07</t>
        </is>
      </c>
      <c r="C94" t="inlineStr">
        <is>
          <t>CC900</t>
        </is>
      </c>
      <c r="D94" t="inlineStr">
        <is>
          <t>Corporate</t>
        </is>
      </c>
      <c r="E94" t="inlineStr">
        <is>
          <t>4200</t>
        </is>
      </c>
      <c r="F94" t="inlineStr">
        <is>
          <t>FX markup</t>
        </is>
      </c>
      <c r="G94" t="inlineStr">
        <is>
          <t>revenue</t>
        </is>
      </c>
      <c r="H94" t="inlineStr">
        <is>
          <t>-167035.20</t>
        </is>
      </c>
      <c r="I94" t="inlineStr"/>
    </row>
    <row r="95">
      <c r="A95" t="inlineStr">
        <is>
          <t>JE000094</t>
        </is>
      </c>
      <c r="B95" t="inlineStr">
        <is>
          <t>2024-07</t>
        </is>
      </c>
      <c r="C95" t="inlineStr">
        <is>
          <t>CC900</t>
        </is>
      </c>
      <c r="D95" t="inlineStr">
        <is>
          <t>Corporate</t>
        </is>
      </c>
      <c r="E95" t="inlineStr">
        <is>
          <t>5000</t>
        </is>
      </c>
      <c r="F95" t="inlineStr">
        <is>
          <t>Scheme and interchange costs</t>
        </is>
      </c>
      <c r="G95" t="inlineStr">
        <is>
          <t>cogs</t>
        </is>
      </c>
      <c r="H95" t="inlineStr">
        <is>
          <t>874946.27</t>
        </is>
      </c>
      <c r="I95" t="inlineStr"/>
    </row>
    <row r="96">
      <c r="A96" t="inlineStr">
        <is>
          <t>JE000095</t>
        </is>
      </c>
      <c r="B96" t="inlineStr">
        <is>
          <t>2024-07</t>
        </is>
      </c>
      <c r="C96" t="inlineStr">
        <is>
          <t>CC900</t>
        </is>
      </c>
      <c r="D96" t="inlineStr">
        <is>
          <t>Corporate</t>
        </is>
      </c>
      <c r="E96" t="inlineStr">
        <is>
          <t>5100</t>
        </is>
      </c>
      <c r="F96" t="inlineStr">
        <is>
          <t>Cloud hosting</t>
        </is>
      </c>
      <c r="G96" t="inlineStr">
        <is>
          <t>cogs</t>
        </is>
      </c>
      <c r="H96" t="inlineStr">
        <is>
          <t>94603.15</t>
        </is>
      </c>
      <c r="I96" t="inlineStr"/>
    </row>
    <row r="97">
      <c r="A97" t="inlineStr">
        <is>
          <t>JE000096</t>
        </is>
      </c>
      <c r="B97" t="inlineStr">
        <is>
          <t>2024-07</t>
        </is>
      </c>
      <c r="C97" t="inlineStr">
        <is>
          <t>CC100</t>
        </is>
      </c>
      <c r="D97" t="inlineStr">
        <is>
          <t>Engineering</t>
        </is>
      </c>
      <c r="E97" t="inlineStr">
        <is>
          <t>6000</t>
        </is>
      </c>
      <c r="F97" t="inlineStr">
        <is>
          <t>Salaries and wages</t>
        </is>
      </c>
      <c r="G97" t="inlineStr">
        <is>
          <t>opex</t>
        </is>
      </c>
      <c r="H97" t="inlineStr">
        <is>
          <t>472000.00</t>
        </is>
      </c>
      <c r="I97" t="inlineStr"/>
    </row>
    <row r="98">
      <c r="A98" t="inlineStr">
        <is>
          <t>JE000097</t>
        </is>
      </c>
      <c r="B98" t="inlineStr">
        <is>
          <t>2024-07</t>
        </is>
      </c>
      <c r="C98" t="inlineStr">
        <is>
          <t>CC200</t>
        </is>
      </c>
      <c r="D98" t="inlineStr">
        <is>
          <t>Sales</t>
        </is>
      </c>
      <c r="E98" t="inlineStr">
        <is>
          <t>6000</t>
        </is>
      </c>
      <c r="F98" t="inlineStr">
        <is>
          <t>Salaries and wages</t>
        </is>
      </c>
      <c r="G98" t="inlineStr">
        <is>
          <t>opex</t>
        </is>
      </c>
      <c r="H98" t="inlineStr">
        <is>
          <t>150400.00</t>
        </is>
      </c>
      <c r="I98" t="inlineStr"/>
    </row>
    <row r="99">
      <c r="A99" t="inlineStr">
        <is>
          <t>JE000098</t>
        </is>
      </c>
      <c r="B99" t="inlineStr">
        <is>
          <t>2024-07</t>
        </is>
      </c>
      <c r="C99" t="inlineStr">
        <is>
          <t>CC300</t>
        </is>
      </c>
      <c r="D99" t="inlineStr">
        <is>
          <t>Marketing</t>
        </is>
      </c>
      <c r="E99" t="inlineStr">
        <is>
          <t>6000</t>
        </is>
      </c>
      <c r="F99" t="inlineStr">
        <is>
          <t>Salaries and wages</t>
        </is>
      </c>
      <c r="G99" t="inlineStr">
        <is>
          <t>opex</t>
        </is>
      </c>
      <c r="H99" t="inlineStr">
        <is>
          <t>53400.00</t>
        </is>
      </c>
      <c r="I99" t="inlineStr"/>
    </row>
    <row r="100">
      <c r="A100" t="inlineStr">
        <is>
          <t>JE000099</t>
        </is>
      </c>
      <c r="B100" t="inlineStr">
        <is>
          <t>2024-07</t>
        </is>
      </c>
      <c r="C100" t="inlineStr">
        <is>
          <t>CC400</t>
        </is>
      </c>
      <c r="D100" t="inlineStr">
        <is>
          <t>Customer support</t>
        </is>
      </c>
      <c r="E100" t="inlineStr">
        <is>
          <t>6000</t>
        </is>
      </c>
      <c r="F100" t="inlineStr">
        <is>
          <t>Salaries and wages</t>
        </is>
      </c>
      <c r="G100" t="inlineStr">
        <is>
          <t>opex</t>
        </is>
      </c>
      <c r="H100" t="inlineStr">
        <is>
          <t>117600.00</t>
        </is>
      </c>
      <c r="I100" t="inlineStr"/>
    </row>
    <row r="101">
      <c r="A101" t="inlineStr">
        <is>
          <t>JE000100</t>
        </is>
      </c>
      <c r="B101" t="inlineStr">
        <is>
          <t>2024-07</t>
        </is>
      </c>
      <c r="C101" t="inlineStr">
        <is>
          <t>CC500</t>
        </is>
      </c>
      <c r="D101" t="inlineStr">
        <is>
          <t>General and administrative</t>
        </is>
      </c>
      <c r="E101" t="inlineStr">
        <is>
          <t>6000</t>
        </is>
      </c>
      <c r="F101" t="inlineStr">
        <is>
          <t>Salaries and wages</t>
        </is>
      </c>
      <c r="G101" t="inlineStr">
        <is>
          <t>opex</t>
        </is>
      </c>
      <c r="H101" t="inlineStr">
        <is>
          <t>100100.00</t>
        </is>
      </c>
      <c r="I101" t="inlineStr"/>
    </row>
    <row r="102">
      <c r="A102" t="inlineStr">
        <is>
          <t>JE000101</t>
        </is>
      </c>
      <c r="B102" t="inlineStr">
        <is>
          <t>2024-07</t>
        </is>
      </c>
      <c r="C102" t="inlineStr">
        <is>
          <t>CC300</t>
        </is>
      </c>
      <c r="D102" t="inlineStr">
        <is>
          <t>Marketing</t>
        </is>
      </c>
      <c r="E102" t="inlineStr">
        <is>
          <t>6100</t>
        </is>
      </c>
      <c r="F102" t="inlineStr">
        <is>
          <t>Marketing programmes</t>
        </is>
      </c>
      <c r="G102" t="inlineStr">
        <is>
          <t>opex</t>
        </is>
      </c>
      <c r="H102" t="inlineStr">
        <is>
          <t>180000.00</t>
        </is>
      </c>
      <c r="I102" t="inlineStr"/>
    </row>
    <row r="103">
      <c r="A103" t="inlineStr">
        <is>
          <t>JE000102</t>
        </is>
      </c>
      <c r="B103" t="inlineStr">
        <is>
          <t>2024-07</t>
        </is>
      </c>
      <c r="C103" t="inlineStr">
        <is>
          <t>CC500</t>
        </is>
      </c>
      <c r="D103" t="inlineStr">
        <is>
          <t>General and administrative</t>
        </is>
      </c>
      <c r="E103" t="inlineStr">
        <is>
          <t>6200</t>
        </is>
      </c>
      <c r="F103" t="inlineStr">
        <is>
          <t>Facilities and administration</t>
        </is>
      </c>
      <c r="G103" t="inlineStr">
        <is>
          <t>opex</t>
        </is>
      </c>
      <c r="H103" t="inlineStr">
        <is>
          <t>148000.00</t>
        </is>
      </c>
      <c r="I103" t="inlineStr"/>
    </row>
    <row r="104">
      <c r="A104" t="inlineStr">
        <is>
          <t>JE000103</t>
        </is>
      </c>
      <c r="B104" t="inlineStr">
        <is>
          <t>2024-07</t>
        </is>
      </c>
      <c r="C104" t="inlineStr">
        <is>
          <t>CC900</t>
        </is>
      </c>
      <c r="D104" t="inlineStr">
        <is>
          <t>Corporate</t>
        </is>
      </c>
      <c r="E104" t="inlineStr">
        <is>
          <t>7000</t>
        </is>
      </c>
      <c r="F104" t="inlineStr">
        <is>
          <t>Depreciation</t>
        </is>
      </c>
      <c r="G104" t="inlineStr">
        <is>
          <t>other</t>
        </is>
      </c>
      <c r="H104" t="inlineStr">
        <is>
          <t>79119.60</t>
        </is>
      </c>
      <c r="I104" t="inlineStr"/>
    </row>
    <row r="105">
      <c r="A105" t="inlineStr">
        <is>
          <t>JE000104</t>
        </is>
      </c>
      <c r="B105" t="inlineStr">
        <is>
          <t>2024-07</t>
        </is>
      </c>
      <c r="C105" t="inlineStr">
        <is>
          <t>CC900</t>
        </is>
      </c>
      <c r="D105" t="inlineStr">
        <is>
          <t>Corporate</t>
        </is>
      </c>
      <c r="E105" t="inlineStr">
        <is>
          <t>8000</t>
        </is>
      </c>
      <c r="F105" t="inlineStr">
        <is>
          <t>Interest expense</t>
        </is>
      </c>
      <c r="G105" t="inlineStr">
        <is>
          <t>other</t>
        </is>
      </c>
      <c r="H105" t="inlineStr">
        <is>
          <t>41562.50</t>
        </is>
      </c>
      <c r="I105" t="inlineStr"/>
    </row>
    <row r="106">
      <c r="A106" t="inlineStr">
        <is>
          <t>JE000105</t>
        </is>
      </c>
      <c r="B106" t="inlineStr">
        <is>
          <t>2024-07</t>
        </is>
      </c>
      <c r="C106" t="inlineStr">
        <is>
          <t>CC900</t>
        </is>
      </c>
      <c r="D106" t="inlineStr">
        <is>
          <t>Corporate</t>
        </is>
      </c>
      <c r="E106" t="inlineStr">
        <is>
          <t>9000</t>
        </is>
      </c>
      <c r="F106" t="inlineStr">
        <is>
          <t>Income tax</t>
        </is>
      </c>
      <c r="G106" t="inlineStr">
        <is>
          <t>other</t>
        </is>
      </c>
      <c r="H106" t="inlineStr">
        <is>
          <t>0.00</t>
        </is>
      </c>
      <c r="I106" t="inlineStr"/>
    </row>
    <row r="107">
      <c r="A107" t="inlineStr">
        <is>
          <t>JE000106</t>
        </is>
      </c>
      <c r="B107" t="inlineStr">
        <is>
          <t>2024-08</t>
        </is>
      </c>
      <c r="C107" t="inlineStr">
        <is>
          <t>CC900</t>
        </is>
      </c>
      <c r="D107" t="inlineStr">
        <is>
          <t>Corporate</t>
        </is>
      </c>
      <c r="E107" t="inlineStr">
        <is>
          <t>4000</t>
        </is>
      </c>
      <c r="F107" t="inlineStr">
        <is>
          <t>Transaction fees</t>
        </is>
      </c>
      <c r="G107" t="inlineStr">
        <is>
          <t>revenue</t>
        </is>
      </c>
      <c r="H107" t="inlineStr">
        <is>
          <t>-1545149.65</t>
        </is>
      </c>
      <c r="I107" t="inlineStr"/>
    </row>
    <row r="108">
      <c r="A108" t="inlineStr">
        <is>
          <t>JE000107</t>
        </is>
      </c>
      <c r="B108" t="inlineStr">
        <is>
          <t>2024-08</t>
        </is>
      </c>
      <c r="C108" t="inlineStr">
        <is>
          <t>CC900</t>
        </is>
      </c>
      <c r="D108" t="inlineStr">
        <is>
          <t>Corporate</t>
        </is>
      </c>
      <c r="E108" t="inlineStr">
        <is>
          <t>4100</t>
        </is>
      </c>
      <c r="F108" t="inlineStr">
        <is>
          <t>Subscription fees</t>
        </is>
      </c>
      <c r="G108" t="inlineStr">
        <is>
          <t>revenue</t>
        </is>
      </c>
      <c r="H108" t="inlineStr">
        <is>
          <t>-576000.00</t>
        </is>
      </c>
      <c r="I108" t="inlineStr"/>
    </row>
    <row r="109">
      <c r="A109" t="inlineStr">
        <is>
          <t>JE000108</t>
        </is>
      </c>
      <c r="B109" t="inlineStr">
        <is>
          <t>2024-08</t>
        </is>
      </c>
      <c r="C109" t="inlineStr">
        <is>
          <t>CC900</t>
        </is>
      </c>
      <c r="D109" t="inlineStr">
        <is>
          <t>Corporate</t>
        </is>
      </c>
      <c r="E109" t="inlineStr">
        <is>
          <t>4200</t>
        </is>
      </c>
      <c r="F109" t="inlineStr">
        <is>
          <t>FX markup</t>
        </is>
      </c>
      <c r="G109" t="inlineStr">
        <is>
          <t>revenue</t>
        </is>
      </c>
      <c r="H109" t="inlineStr">
        <is>
          <t>-167835.22</t>
        </is>
      </c>
      <c r="I109" t="inlineStr"/>
    </row>
    <row r="110">
      <c r="A110" t="inlineStr">
        <is>
          <t>JE000109</t>
        </is>
      </c>
      <c r="B110" t="inlineStr">
        <is>
          <t>2024-08</t>
        </is>
      </c>
      <c r="C110" t="inlineStr">
        <is>
          <t>CC900</t>
        </is>
      </c>
      <c r="D110" t="inlineStr">
        <is>
          <t>Corporate</t>
        </is>
      </c>
      <c r="E110" t="inlineStr">
        <is>
          <t>5000</t>
        </is>
      </c>
      <c r="F110" t="inlineStr">
        <is>
          <t>Scheme and interchange costs</t>
        </is>
      </c>
      <c r="G110" t="inlineStr">
        <is>
          <t>cogs</t>
        </is>
      </c>
      <c r="H110" t="inlineStr">
        <is>
          <t>879136.87</t>
        </is>
      </c>
      <c r="I110" t="inlineStr"/>
    </row>
    <row r="111">
      <c r="A111" t="inlineStr">
        <is>
          <t>JE000110</t>
        </is>
      </c>
      <c r="B111" t="inlineStr">
        <is>
          <t>2024-08</t>
        </is>
      </c>
      <c r="C111" t="inlineStr">
        <is>
          <t>CC900</t>
        </is>
      </c>
      <c r="D111" t="inlineStr">
        <is>
          <t>Corporate</t>
        </is>
      </c>
      <c r="E111" t="inlineStr">
        <is>
          <t>5100</t>
        </is>
      </c>
      <c r="F111" t="inlineStr">
        <is>
          <t>Cloud hosting</t>
        </is>
      </c>
      <c r="G111" t="inlineStr">
        <is>
          <t>cogs</t>
        </is>
      </c>
      <c r="H111" t="inlineStr">
        <is>
          <t>96306.01</t>
        </is>
      </c>
      <c r="I111" t="inlineStr"/>
    </row>
    <row r="112">
      <c r="A112" t="inlineStr">
        <is>
          <t>JE000111</t>
        </is>
      </c>
      <c r="B112" t="inlineStr">
        <is>
          <t>2024-08</t>
        </is>
      </c>
      <c r="C112" t="inlineStr">
        <is>
          <t>CC100</t>
        </is>
      </c>
      <c r="D112" t="inlineStr">
        <is>
          <t>Engineering</t>
        </is>
      </c>
      <c r="E112" t="inlineStr">
        <is>
          <t>6000</t>
        </is>
      </c>
      <c r="F112" t="inlineStr">
        <is>
          <t>Salaries and wages</t>
        </is>
      </c>
      <c r="G112" t="inlineStr">
        <is>
          <t>opex</t>
        </is>
      </c>
      <c r="H112" t="inlineStr">
        <is>
          <t>472000.00</t>
        </is>
      </c>
      <c r="I112" t="inlineStr"/>
    </row>
    <row r="113">
      <c r="A113" t="inlineStr">
        <is>
          <t>JE000112</t>
        </is>
      </c>
      <c r="B113" t="inlineStr">
        <is>
          <t>2024-08</t>
        </is>
      </c>
      <c r="C113" t="inlineStr">
        <is>
          <t>CC200</t>
        </is>
      </c>
      <c r="D113" t="inlineStr">
        <is>
          <t>Sales</t>
        </is>
      </c>
      <c r="E113" t="inlineStr">
        <is>
          <t>6000</t>
        </is>
      </c>
      <c r="F113" t="inlineStr">
        <is>
          <t>Salaries and wages</t>
        </is>
      </c>
      <c r="G113" t="inlineStr">
        <is>
          <t>opex</t>
        </is>
      </c>
      <c r="H113" t="inlineStr">
        <is>
          <t>150400.00</t>
        </is>
      </c>
      <c r="I113" t="inlineStr"/>
    </row>
    <row r="114">
      <c r="A114" t="inlineStr">
        <is>
          <t>JE000113</t>
        </is>
      </c>
      <c r="B114" t="inlineStr">
        <is>
          <t>2024-08</t>
        </is>
      </c>
      <c r="C114" t="inlineStr">
        <is>
          <t>CC300</t>
        </is>
      </c>
      <c r="D114" t="inlineStr">
        <is>
          <t>Marketing</t>
        </is>
      </c>
      <c r="E114" t="inlineStr">
        <is>
          <t>6000</t>
        </is>
      </c>
      <c r="F114" t="inlineStr">
        <is>
          <t>Salaries and wages</t>
        </is>
      </c>
      <c r="G114" t="inlineStr">
        <is>
          <t>opex</t>
        </is>
      </c>
      <c r="H114" t="inlineStr">
        <is>
          <t>62300.00</t>
        </is>
      </c>
      <c r="I114" t="inlineStr"/>
    </row>
    <row r="115">
      <c r="A115" t="inlineStr">
        <is>
          <t>JE000114</t>
        </is>
      </c>
      <c r="B115" t="inlineStr">
        <is>
          <t>2024-08</t>
        </is>
      </c>
      <c r="C115" t="inlineStr">
        <is>
          <t>CC400</t>
        </is>
      </c>
      <c r="D115" t="inlineStr">
        <is>
          <t>Customer support</t>
        </is>
      </c>
      <c r="E115" t="inlineStr">
        <is>
          <t>6000</t>
        </is>
      </c>
      <c r="F115" t="inlineStr">
        <is>
          <t>Salaries and wages</t>
        </is>
      </c>
      <c r="G115" t="inlineStr">
        <is>
          <t>opex</t>
        </is>
      </c>
      <c r="H115" t="inlineStr">
        <is>
          <t>117600.00</t>
        </is>
      </c>
      <c r="I115" t="inlineStr"/>
    </row>
    <row r="116">
      <c r="A116" t="inlineStr">
        <is>
          <t>JE000115</t>
        </is>
      </c>
      <c r="B116" t="inlineStr">
        <is>
          <t>2024-08</t>
        </is>
      </c>
      <c r="C116" t="inlineStr">
        <is>
          <t>CC500</t>
        </is>
      </c>
      <c r="D116" t="inlineStr">
        <is>
          <t>General and administrative</t>
        </is>
      </c>
      <c r="E116" t="inlineStr">
        <is>
          <t>6000</t>
        </is>
      </c>
      <c r="F116" t="inlineStr">
        <is>
          <t>Salaries and wages</t>
        </is>
      </c>
      <c r="G116" t="inlineStr">
        <is>
          <t>opex</t>
        </is>
      </c>
      <c r="H116" t="inlineStr">
        <is>
          <t>100100.00</t>
        </is>
      </c>
      <c r="I116" t="inlineStr"/>
    </row>
    <row r="117">
      <c r="A117" t="inlineStr">
        <is>
          <t>JE000116</t>
        </is>
      </c>
      <c r="B117" t="inlineStr">
        <is>
          <t>2024-08</t>
        </is>
      </c>
      <c r="C117" t="inlineStr">
        <is>
          <t>CC300</t>
        </is>
      </c>
      <c r="D117" t="inlineStr">
        <is>
          <t>Marketing</t>
        </is>
      </c>
      <c r="E117" t="inlineStr">
        <is>
          <t>6100</t>
        </is>
      </c>
      <c r="F117" t="inlineStr">
        <is>
          <t>Marketing programmes</t>
        </is>
      </c>
      <c r="G117" t="inlineStr">
        <is>
          <t>opex</t>
        </is>
      </c>
      <c r="H117" t="inlineStr">
        <is>
          <t>180000.00</t>
        </is>
      </c>
      <c r="I117" t="inlineStr"/>
    </row>
    <row r="118">
      <c r="A118" t="inlineStr">
        <is>
          <t>JE000117</t>
        </is>
      </c>
      <c r="B118" t="inlineStr">
        <is>
          <t>2024-08</t>
        </is>
      </c>
      <c r="C118" t="inlineStr">
        <is>
          <t>CC500</t>
        </is>
      </c>
      <c r="D118" t="inlineStr">
        <is>
          <t>General and administrative</t>
        </is>
      </c>
      <c r="E118" t="inlineStr">
        <is>
          <t>6200</t>
        </is>
      </c>
      <c r="F118" t="inlineStr">
        <is>
          <t>Facilities and administration</t>
        </is>
      </c>
      <c r="G118" t="inlineStr">
        <is>
          <t>opex</t>
        </is>
      </c>
      <c r="H118" t="inlineStr">
        <is>
          <t>148000.00</t>
        </is>
      </c>
      <c r="I118" t="inlineStr"/>
    </row>
    <row r="119">
      <c r="A119" t="inlineStr">
        <is>
          <t>JE000118</t>
        </is>
      </c>
      <c r="B119" t="inlineStr">
        <is>
          <t>2024-08</t>
        </is>
      </c>
      <c r="C119" t="inlineStr">
        <is>
          <t>CC900</t>
        </is>
      </c>
      <c r="D119" t="inlineStr">
        <is>
          <t>Corporate</t>
        </is>
      </c>
      <c r="E119" t="inlineStr">
        <is>
          <t>7000</t>
        </is>
      </c>
      <c r="F119" t="inlineStr">
        <is>
          <t>Depreciation</t>
        </is>
      </c>
      <c r="G119" t="inlineStr">
        <is>
          <t>other</t>
        </is>
      </c>
      <c r="H119" t="inlineStr">
        <is>
          <t>80080.29</t>
        </is>
      </c>
      <c r="I119" t="inlineStr"/>
    </row>
    <row r="120">
      <c r="A120" t="inlineStr">
        <is>
          <t>JE000119</t>
        </is>
      </c>
      <c r="B120" t="inlineStr">
        <is>
          <t>2024-08</t>
        </is>
      </c>
      <c r="C120" t="inlineStr">
        <is>
          <t>CC900</t>
        </is>
      </c>
      <c r="D120" t="inlineStr">
        <is>
          <t>Corporate</t>
        </is>
      </c>
      <c r="E120" t="inlineStr">
        <is>
          <t>8000</t>
        </is>
      </c>
      <c r="F120" t="inlineStr">
        <is>
          <t>Interest expense</t>
        </is>
      </c>
      <c r="G120" t="inlineStr">
        <is>
          <t>other</t>
        </is>
      </c>
      <c r="H120" t="inlineStr">
        <is>
          <t>40572.92</t>
        </is>
      </c>
      <c r="I120" t="inlineStr"/>
    </row>
    <row r="121">
      <c r="A121" t="inlineStr">
        <is>
          <t>JE000120</t>
        </is>
      </c>
      <c r="B121" t="inlineStr">
        <is>
          <t>2024-08</t>
        </is>
      </c>
      <c r="C121" t="inlineStr">
        <is>
          <t>CC900</t>
        </is>
      </c>
      <c r="D121" t="inlineStr">
        <is>
          <t>Corporate</t>
        </is>
      </c>
      <c r="E121" t="inlineStr">
        <is>
          <t>9000</t>
        </is>
      </c>
      <c r="F121" t="inlineStr">
        <is>
          <t>Income tax</t>
        </is>
      </c>
      <c r="G121" t="inlineStr">
        <is>
          <t>other</t>
        </is>
      </c>
      <c r="H121" t="inlineStr">
        <is>
          <t>0.00</t>
        </is>
      </c>
      <c r="I121" t="inlineStr"/>
    </row>
    <row r="122">
      <c r="A122" t="inlineStr">
        <is>
          <t>JE000121</t>
        </is>
      </c>
      <c r="B122" t="inlineStr">
        <is>
          <t>2024-09</t>
        </is>
      </c>
      <c r="C122" t="inlineStr">
        <is>
          <t>CC900</t>
        </is>
      </c>
      <c r="D122" t="inlineStr">
        <is>
          <t>Corporate</t>
        </is>
      </c>
      <c r="E122" t="inlineStr">
        <is>
          <t>4000</t>
        </is>
      </c>
      <c r="F122" t="inlineStr">
        <is>
          <t>Transaction fees</t>
        </is>
      </c>
      <c r="G122" t="inlineStr">
        <is>
          <t>revenue</t>
        </is>
      </c>
      <c r="H122" t="inlineStr">
        <is>
          <t>-1677805.47</t>
        </is>
      </c>
      <c r="I122" t="inlineStr"/>
    </row>
    <row r="123">
      <c r="A123" t="inlineStr">
        <is>
          <t>JE000122</t>
        </is>
      </c>
      <c r="B123" t="inlineStr">
        <is>
          <t>2024-09</t>
        </is>
      </c>
      <c r="C123" t="inlineStr">
        <is>
          <t>CC900</t>
        </is>
      </c>
      <c r="D123" t="inlineStr">
        <is>
          <t>Corporate</t>
        </is>
      </c>
      <c r="E123" t="inlineStr">
        <is>
          <t>4100</t>
        </is>
      </c>
      <c r="F123" t="inlineStr">
        <is>
          <t>Subscription fees</t>
        </is>
      </c>
      <c r="G123" t="inlineStr">
        <is>
          <t>revenue</t>
        </is>
      </c>
      <c r="H123" t="inlineStr">
        <is>
          <t>-592200.00</t>
        </is>
      </c>
      <c r="I123" t="inlineStr"/>
    </row>
    <row r="124">
      <c r="A124" t="inlineStr">
        <is>
          <t>JE000123</t>
        </is>
      </c>
      <c r="B124" t="inlineStr">
        <is>
          <t>2024-09</t>
        </is>
      </c>
      <c r="C124" t="inlineStr">
        <is>
          <t>CC900</t>
        </is>
      </c>
      <c r="D124" t="inlineStr">
        <is>
          <t>Corporate</t>
        </is>
      </c>
      <c r="E124" t="inlineStr">
        <is>
          <t>4200</t>
        </is>
      </c>
      <c r="F124" t="inlineStr">
        <is>
          <t>FX markup</t>
        </is>
      </c>
      <c r="G124" t="inlineStr">
        <is>
          <t>revenue</t>
        </is>
      </c>
      <c r="H124" t="inlineStr">
        <is>
          <t>-182244.39</t>
        </is>
      </c>
      <c r="I124" t="inlineStr"/>
    </row>
    <row r="125">
      <c r="A125" t="inlineStr">
        <is>
          <t>JE000124</t>
        </is>
      </c>
      <c r="B125" t="inlineStr">
        <is>
          <t>2024-09</t>
        </is>
      </c>
      <c r="C125" t="inlineStr">
        <is>
          <t>CC900</t>
        </is>
      </c>
      <c r="D125" t="inlineStr">
        <is>
          <t>Corporate</t>
        </is>
      </c>
      <c r="E125" t="inlineStr">
        <is>
          <t>5000</t>
        </is>
      </c>
      <c r="F125" t="inlineStr">
        <is>
          <t>Scheme and interchange costs</t>
        </is>
      </c>
      <c r="G125" t="inlineStr">
        <is>
          <t>cogs</t>
        </is>
      </c>
      <c r="H125" t="inlineStr">
        <is>
          <t>954613.46</t>
        </is>
      </c>
      <c r="I125" t="inlineStr"/>
    </row>
    <row r="126">
      <c r="A126" t="inlineStr">
        <is>
          <t>JE000125</t>
        </is>
      </c>
      <c r="B126" t="inlineStr">
        <is>
          <t>2024-09</t>
        </is>
      </c>
      <c r="C126" t="inlineStr">
        <is>
          <t>CC900</t>
        </is>
      </c>
      <c r="D126" t="inlineStr">
        <is>
          <t>Corporate</t>
        </is>
      </c>
      <c r="E126" t="inlineStr">
        <is>
          <t>5100</t>
        </is>
      </c>
      <c r="F126" t="inlineStr">
        <is>
          <t>Cloud hosting</t>
        </is>
      </c>
      <c r="G126" t="inlineStr">
        <is>
          <t>cogs</t>
        </is>
      </c>
      <c r="H126" t="inlineStr">
        <is>
          <t>98039.51</t>
        </is>
      </c>
      <c r="I126" t="inlineStr"/>
    </row>
    <row r="127">
      <c r="A127" t="inlineStr">
        <is>
          <t>JE000126</t>
        </is>
      </c>
      <c r="B127" t="inlineStr">
        <is>
          <t>2024-09</t>
        </is>
      </c>
      <c r="C127" t="inlineStr">
        <is>
          <t>CC100</t>
        </is>
      </c>
      <c r="D127" t="inlineStr">
        <is>
          <t>Engineering</t>
        </is>
      </c>
      <c r="E127" t="inlineStr">
        <is>
          <t>6000</t>
        </is>
      </c>
      <c r="F127" t="inlineStr">
        <is>
          <t>Salaries and wages</t>
        </is>
      </c>
      <c r="G127" t="inlineStr">
        <is>
          <t>opex</t>
        </is>
      </c>
      <c r="H127" t="inlineStr">
        <is>
          <t>507400.00</t>
        </is>
      </c>
      <c r="I127" t="inlineStr"/>
    </row>
    <row r="128">
      <c r="A128" t="inlineStr">
        <is>
          <t>JE000127</t>
        </is>
      </c>
      <c r="B128" t="inlineStr">
        <is>
          <t>2024-09</t>
        </is>
      </c>
      <c r="C128" t="inlineStr">
        <is>
          <t>CC200</t>
        </is>
      </c>
      <c r="D128" t="inlineStr">
        <is>
          <t>Sales</t>
        </is>
      </c>
      <c r="E128" t="inlineStr">
        <is>
          <t>6000</t>
        </is>
      </c>
      <c r="F128" t="inlineStr">
        <is>
          <t>Salaries and wages</t>
        </is>
      </c>
      <c r="G128" t="inlineStr">
        <is>
          <t>opex</t>
        </is>
      </c>
      <c r="H128" t="inlineStr">
        <is>
          <t>150400.00</t>
        </is>
      </c>
      <c r="I128" t="inlineStr"/>
    </row>
    <row r="129">
      <c r="A129" t="inlineStr">
        <is>
          <t>JE000128</t>
        </is>
      </c>
      <c r="B129" t="inlineStr">
        <is>
          <t>2024-09</t>
        </is>
      </c>
      <c r="C129" t="inlineStr">
        <is>
          <t>CC300</t>
        </is>
      </c>
      <c r="D129" t="inlineStr">
        <is>
          <t>Marketing</t>
        </is>
      </c>
      <c r="E129" t="inlineStr">
        <is>
          <t>6000</t>
        </is>
      </c>
      <c r="F129" t="inlineStr">
        <is>
          <t>Salaries and wages</t>
        </is>
      </c>
      <c r="G129" t="inlineStr">
        <is>
          <t>opex</t>
        </is>
      </c>
      <c r="H129" t="inlineStr">
        <is>
          <t>62300.00</t>
        </is>
      </c>
      <c r="I129" t="inlineStr"/>
    </row>
    <row r="130">
      <c r="A130" t="inlineStr">
        <is>
          <t>JE000129</t>
        </is>
      </c>
      <c r="B130" t="inlineStr">
        <is>
          <t>2024-09</t>
        </is>
      </c>
      <c r="C130" t="inlineStr">
        <is>
          <t>CC400</t>
        </is>
      </c>
      <c r="D130" t="inlineStr">
        <is>
          <t>Customer support</t>
        </is>
      </c>
      <c r="E130" t="inlineStr">
        <is>
          <t>6000</t>
        </is>
      </c>
      <c r="F130" t="inlineStr">
        <is>
          <t>Salaries and wages</t>
        </is>
      </c>
      <c r="G130" t="inlineStr">
        <is>
          <t>opex</t>
        </is>
      </c>
      <c r="H130" t="inlineStr">
        <is>
          <t>117600.00</t>
        </is>
      </c>
      <c r="I130" t="inlineStr"/>
    </row>
    <row r="131">
      <c r="A131" t="inlineStr">
        <is>
          <t>JE000130</t>
        </is>
      </c>
      <c r="B131" t="inlineStr">
        <is>
          <t>2024-09</t>
        </is>
      </c>
      <c r="C131" t="inlineStr">
        <is>
          <t>CC500</t>
        </is>
      </c>
      <c r="D131" t="inlineStr">
        <is>
          <t>General and administrative</t>
        </is>
      </c>
      <c r="E131" t="inlineStr">
        <is>
          <t>6000</t>
        </is>
      </c>
      <c r="F131" t="inlineStr">
        <is>
          <t>Salaries and wages</t>
        </is>
      </c>
      <c r="G131" t="inlineStr">
        <is>
          <t>opex</t>
        </is>
      </c>
      <c r="H131" t="inlineStr">
        <is>
          <t>100100.00</t>
        </is>
      </c>
      <c r="I131" t="inlineStr"/>
    </row>
    <row r="132">
      <c r="A132" t="inlineStr">
        <is>
          <t>JE000131</t>
        </is>
      </c>
      <c r="B132" t="inlineStr">
        <is>
          <t>2024-09</t>
        </is>
      </c>
      <c r="C132" t="inlineStr">
        <is>
          <t>CC300</t>
        </is>
      </c>
      <c r="D132" t="inlineStr">
        <is>
          <t>Marketing</t>
        </is>
      </c>
      <c r="E132" t="inlineStr">
        <is>
          <t>6100</t>
        </is>
      </c>
      <c r="F132" t="inlineStr">
        <is>
          <t>Marketing programmes</t>
        </is>
      </c>
      <c r="G132" t="inlineStr">
        <is>
          <t>opex</t>
        </is>
      </c>
      <c r="H132" t="inlineStr">
        <is>
          <t>180000.00</t>
        </is>
      </c>
      <c r="I132" t="inlineStr"/>
    </row>
    <row r="133">
      <c r="A133" t="inlineStr">
        <is>
          <t>JE000132</t>
        </is>
      </c>
      <c r="B133" t="inlineStr">
        <is>
          <t>2024-09</t>
        </is>
      </c>
      <c r="C133" t="inlineStr">
        <is>
          <t>CC500</t>
        </is>
      </c>
      <c r="D133" t="inlineStr">
        <is>
          <t>General and administrative</t>
        </is>
      </c>
      <c r="E133" t="inlineStr">
        <is>
          <t>6200</t>
        </is>
      </c>
      <c r="F133" t="inlineStr">
        <is>
          <t>Facilities and administration</t>
        </is>
      </c>
      <c r="G133" t="inlineStr">
        <is>
          <t>opex</t>
        </is>
      </c>
      <c r="H133" t="inlineStr">
        <is>
          <t>148000.00</t>
        </is>
      </c>
      <c r="I133" t="inlineStr"/>
    </row>
    <row r="134">
      <c r="A134" t="inlineStr">
        <is>
          <t>JE000133</t>
        </is>
      </c>
      <c r="B134" t="inlineStr">
        <is>
          <t>2024-09</t>
        </is>
      </c>
      <c r="C134" t="inlineStr">
        <is>
          <t>CC900</t>
        </is>
      </c>
      <c r="D134" t="inlineStr">
        <is>
          <t>Corporate</t>
        </is>
      </c>
      <c r="E134" t="inlineStr">
        <is>
          <t>7000</t>
        </is>
      </c>
      <c r="F134" t="inlineStr">
        <is>
          <t>Depreciation</t>
        </is>
      </c>
      <c r="G134" t="inlineStr">
        <is>
          <t>other</t>
        </is>
      </c>
      <c r="H134" t="inlineStr">
        <is>
          <t>81018.40</t>
        </is>
      </c>
      <c r="I134" t="inlineStr"/>
    </row>
    <row r="135">
      <c r="A135" t="inlineStr">
        <is>
          <t>JE000134</t>
        </is>
      </c>
      <c r="B135" t="inlineStr">
        <is>
          <t>2024-09</t>
        </is>
      </c>
      <c r="C135" t="inlineStr">
        <is>
          <t>CC900</t>
        </is>
      </c>
      <c r="D135" t="inlineStr">
        <is>
          <t>Corporate</t>
        </is>
      </c>
      <c r="E135" t="inlineStr">
        <is>
          <t>8000</t>
        </is>
      </c>
      <c r="F135" t="inlineStr">
        <is>
          <t>Interest expense</t>
        </is>
      </c>
      <c r="G135" t="inlineStr">
        <is>
          <t>other</t>
        </is>
      </c>
      <c r="H135" t="inlineStr">
        <is>
          <t>39583.33</t>
        </is>
      </c>
      <c r="I135" t="inlineStr"/>
    </row>
    <row r="136">
      <c r="A136" t="inlineStr">
        <is>
          <t>JE000135</t>
        </is>
      </c>
      <c r="B136" t="inlineStr">
        <is>
          <t>2024-09</t>
        </is>
      </c>
      <c r="C136" t="inlineStr">
        <is>
          <t>CC900</t>
        </is>
      </c>
      <c r="D136" t="inlineStr">
        <is>
          <t>Corporate</t>
        </is>
      </c>
      <c r="E136" t="inlineStr">
        <is>
          <t>9000</t>
        </is>
      </c>
      <c r="F136" t="inlineStr">
        <is>
          <t>Income tax</t>
        </is>
      </c>
      <c r="G136" t="inlineStr">
        <is>
          <t>other</t>
        </is>
      </c>
      <c r="H136" t="inlineStr">
        <is>
          <t>2770.98</t>
        </is>
      </c>
      <c r="I136" t="inlineStr"/>
    </row>
    <row r="137">
      <c r="A137" t="inlineStr">
        <is>
          <t>JE000136</t>
        </is>
      </c>
      <c r="B137" t="inlineStr">
        <is>
          <t>2024-10</t>
        </is>
      </c>
      <c r="C137" t="inlineStr">
        <is>
          <t>CC900</t>
        </is>
      </c>
      <c r="D137" t="inlineStr">
        <is>
          <t>Corporate</t>
        </is>
      </c>
      <c r="E137" t="inlineStr">
        <is>
          <t>4000</t>
        </is>
      </c>
      <c r="F137" t="inlineStr">
        <is>
          <t>Transaction fees</t>
        </is>
      </c>
      <c r="G137" t="inlineStr">
        <is>
          <t>revenue</t>
        </is>
      </c>
      <c r="H137" t="inlineStr">
        <is>
          <t>-1798159.01</t>
        </is>
      </c>
      <c r="I137" t="inlineStr"/>
    </row>
    <row r="138">
      <c r="A138" t="inlineStr">
        <is>
          <t>JE000137</t>
        </is>
      </c>
      <c r="B138" t="inlineStr">
        <is>
          <t>2024-10</t>
        </is>
      </c>
      <c r="C138" t="inlineStr">
        <is>
          <t>CC900</t>
        </is>
      </c>
      <c r="D138" t="inlineStr">
        <is>
          <t>Corporate</t>
        </is>
      </c>
      <c r="E138" t="inlineStr">
        <is>
          <t>4100</t>
        </is>
      </c>
      <c r="F138" t="inlineStr">
        <is>
          <t>Subscription fees</t>
        </is>
      </c>
      <c r="G138" t="inlineStr">
        <is>
          <t>revenue</t>
        </is>
      </c>
      <c r="H138" t="inlineStr">
        <is>
          <t>-613800.00</t>
        </is>
      </c>
      <c r="I138" t="inlineStr"/>
    </row>
    <row r="139">
      <c r="A139" t="inlineStr">
        <is>
          <t>JE000138</t>
        </is>
      </c>
      <c r="B139" t="inlineStr">
        <is>
          <t>2024-10</t>
        </is>
      </c>
      <c r="C139" t="inlineStr">
        <is>
          <t>CC900</t>
        </is>
      </c>
      <c r="D139" t="inlineStr">
        <is>
          <t>Corporate</t>
        </is>
      </c>
      <c r="E139" t="inlineStr">
        <is>
          <t>4200</t>
        </is>
      </c>
      <c r="F139" t="inlineStr">
        <is>
          <t>FX markup</t>
        </is>
      </c>
      <c r="G139" t="inlineStr">
        <is>
          <t>revenue</t>
        </is>
      </c>
      <c r="H139" t="inlineStr">
        <is>
          <t>-195317.27</t>
        </is>
      </c>
      <c r="I139" t="inlineStr"/>
    </row>
    <row r="140">
      <c r="A140" t="inlineStr">
        <is>
          <t>JE000139</t>
        </is>
      </c>
      <c r="B140" t="inlineStr">
        <is>
          <t>2024-10</t>
        </is>
      </c>
      <c r="C140" t="inlineStr">
        <is>
          <t>CC900</t>
        </is>
      </c>
      <c r="D140" t="inlineStr">
        <is>
          <t>Corporate</t>
        </is>
      </c>
      <c r="E140" t="inlineStr">
        <is>
          <t>5000</t>
        </is>
      </c>
      <c r="F140" t="inlineStr">
        <is>
          <t>Scheme and interchange costs</t>
        </is>
      </c>
      <c r="G140" t="inlineStr">
        <is>
          <t>cogs</t>
        </is>
      </c>
      <c r="H140" t="inlineStr">
        <is>
          <t>1023090.47</t>
        </is>
      </c>
      <c r="I140" t="inlineStr"/>
    </row>
    <row r="141">
      <c r="A141" t="inlineStr">
        <is>
          <t>JE000140</t>
        </is>
      </c>
      <c r="B141" t="inlineStr">
        <is>
          <t>2024-10</t>
        </is>
      </c>
      <c r="C141" t="inlineStr">
        <is>
          <t>CC900</t>
        </is>
      </c>
      <c r="D141" t="inlineStr">
        <is>
          <t>Corporate</t>
        </is>
      </c>
      <c r="E141" t="inlineStr">
        <is>
          <t>5100</t>
        </is>
      </c>
      <c r="F141" t="inlineStr">
        <is>
          <t>Cloud hosting</t>
        </is>
      </c>
      <c r="G141" t="inlineStr">
        <is>
          <t>cogs</t>
        </is>
      </c>
      <c r="H141" t="inlineStr">
        <is>
          <t>99804.23</t>
        </is>
      </c>
      <c r="I141" t="inlineStr"/>
    </row>
    <row r="142">
      <c r="A142" t="inlineStr">
        <is>
          <t>JE000141</t>
        </is>
      </c>
      <c r="B142" t="inlineStr">
        <is>
          <t>2024-10</t>
        </is>
      </c>
      <c r="C142" t="inlineStr">
        <is>
          <t>CC100</t>
        </is>
      </c>
      <c r="D142" t="inlineStr">
        <is>
          <t>Engineering</t>
        </is>
      </c>
      <c r="E142" t="inlineStr">
        <is>
          <t>6000</t>
        </is>
      </c>
      <c r="F142" t="inlineStr">
        <is>
          <t>Salaries and wages</t>
        </is>
      </c>
      <c r="G142" t="inlineStr">
        <is>
          <t>opex</t>
        </is>
      </c>
      <c r="H142" t="inlineStr">
        <is>
          <t>507400.00</t>
        </is>
      </c>
      <c r="I142" t="inlineStr"/>
    </row>
    <row r="143">
      <c r="A143" t="inlineStr">
        <is>
          <t>JE000142</t>
        </is>
      </c>
      <c r="B143" t="inlineStr">
        <is>
          <t>2024-10</t>
        </is>
      </c>
      <c r="C143" t="inlineStr">
        <is>
          <t>CC200</t>
        </is>
      </c>
      <c r="D143" t="inlineStr">
        <is>
          <t>Sales</t>
        </is>
      </c>
      <c r="E143" t="inlineStr">
        <is>
          <t>6000</t>
        </is>
      </c>
      <c r="F143" t="inlineStr">
        <is>
          <t>Salaries and wages</t>
        </is>
      </c>
      <c r="G143" t="inlineStr">
        <is>
          <t>opex</t>
        </is>
      </c>
      <c r="H143" t="inlineStr">
        <is>
          <t>150400.00</t>
        </is>
      </c>
      <c r="I143" t="inlineStr"/>
    </row>
    <row r="144">
      <c r="A144" t="inlineStr">
        <is>
          <t>JE000143</t>
        </is>
      </c>
      <c r="B144" t="inlineStr">
        <is>
          <t>2024-10</t>
        </is>
      </c>
      <c r="C144" t="inlineStr">
        <is>
          <t>CC300</t>
        </is>
      </c>
      <c r="D144" t="inlineStr">
        <is>
          <t>Marketing</t>
        </is>
      </c>
      <c r="E144" t="inlineStr">
        <is>
          <t>6000</t>
        </is>
      </c>
      <c r="F144" t="inlineStr">
        <is>
          <t>Salaries and wages</t>
        </is>
      </c>
      <c r="G144" t="inlineStr">
        <is>
          <t>opex</t>
        </is>
      </c>
      <c r="H144" t="inlineStr">
        <is>
          <t>62300.00</t>
        </is>
      </c>
      <c r="I144" t="inlineStr"/>
    </row>
    <row r="145">
      <c r="A145" t="inlineStr">
        <is>
          <t>JE000144</t>
        </is>
      </c>
      <c r="B145" t="inlineStr">
        <is>
          <t>2024-10</t>
        </is>
      </c>
      <c r="C145" t="inlineStr">
        <is>
          <t>CC400</t>
        </is>
      </c>
      <c r="D145" t="inlineStr">
        <is>
          <t>Customer support</t>
        </is>
      </c>
      <c r="E145" t="inlineStr">
        <is>
          <t>6000</t>
        </is>
      </c>
      <c r="F145" t="inlineStr">
        <is>
          <t>Salaries and wages</t>
        </is>
      </c>
      <c r="G145" t="inlineStr">
        <is>
          <t>opex</t>
        </is>
      </c>
      <c r="H145" t="inlineStr">
        <is>
          <t>117600.00</t>
        </is>
      </c>
      <c r="I145" t="inlineStr"/>
    </row>
    <row r="146">
      <c r="A146" t="inlineStr">
        <is>
          <t>JE000145</t>
        </is>
      </c>
      <c r="B146" t="inlineStr">
        <is>
          <t>2024-10</t>
        </is>
      </c>
      <c r="C146" t="inlineStr">
        <is>
          <t>CC500</t>
        </is>
      </c>
      <c r="D146" t="inlineStr">
        <is>
          <t>General and administrative</t>
        </is>
      </c>
      <c r="E146" t="inlineStr">
        <is>
          <t>6000</t>
        </is>
      </c>
      <c r="F146" t="inlineStr">
        <is>
          <t>Salaries and wages</t>
        </is>
      </c>
      <c r="G146" t="inlineStr">
        <is>
          <t>opex</t>
        </is>
      </c>
      <c r="H146" t="inlineStr">
        <is>
          <t>109200.00</t>
        </is>
      </c>
      <c r="I146" t="inlineStr"/>
    </row>
    <row r="147">
      <c r="A147" t="inlineStr">
        <is>
          <t>JE000146</t>
        </is>
      </c>
      <c r="B147" t="inlineStr">
        <is>
          <t>2024-10</t>
        </is>
      </c>
      <c r="C147" t="inlineStr">
        <is>
          <t>CC300</t>
        </is>
      </c>
      <c r="D147" t="inlineStr">
        <is>
          <t>Marketing</t>
        </is>
      </c>
      <c r="E147" t="inlineStr">
        <is>
          <t>6100</t>
        </is>
      </c>
      <c r="F147" t="inlineStr">
        <is>
          <t>Marketing programmes</t>
        </is>
      </c>
      <c r="G147" t="inlineStr">
        <is>
          <t>opex</t>
        </is>
      </c>
      <c r="H147" t="inlineStr">
        <is>
          <t>180000.00</t>
        </is>
      </c>
      <c r="I147" t="inlineStr"/>
    </row>
    <row r="148">
      <c r="A148" t="inlineStr">
        <is>
          <t>JE000147</t>
        </is>
      </c>
      <c r="B148" t="inlineStr">
        <is>
          <t>2024-10</t>
        </is>
      </c>
      <c r="C148" t="inlineStr">
        <is>
          <t>CC500</t>
        </is>
      </c>
      <c r="D148" t="inlineStr">
        <is>
          <t>General and administrative</t>
        </is>
      </c>
      <c r="E148" t="inlineStr">
        <is>
          <t>6200</t>
        </is>
      </c>
      <c r="F148" t="inlineStr">
        <is>
          <t>Facilities and administration</t>
        </is>
      </c>
      <c r="G148" t="inlineStr">
        <is>
          <t>opex</t>
        </is>
      </c>
      <c r="H148" t="inlineStr">
        <is>
          <t>148000.00</t>
        </is>
      </c>
      <c r="I148" t="inlineStr"/>
    </row>
    <row r="149">
      <c r="A149" t="inlineStr">
        <is>
          <t>JE000148</t>
        </is>
      </c>
      <c r="B149" t="inlineStr">
        <is>
          <t>2024-10</t>
        </is>
      </c>
      <c r="C149" t="inlineStr">
        <is>
          <t>CC900</t>
        </is>
      </c>
      <c r="D149" t="inlineStr">
        <is>
          <t>Corporate</t>
        </is>
      </c>
      <c r="E149" t="inlineStr">
        <is>
          <t>7000</t>
        </is>
      </c>
      <c r="F149" t="inlineStr">
        <is>
          <t>Depreciation</t>
        </is>
      </c>
      <c r="G149" t="inlineStr">
        <is>
          <t>other</t>
        </is>
      </c>
      <c r="H149" t="inlineStr">
        <is>
          <t>81934.47</t>
        </is>
      </c>
      <c r="I149" t="inlineStr"/>
    </row>
    <row r="150">
      <c r="A150" t="inlineStr">
        <is>
          <t>JE000149</t>
        </is>
      </c>
      <c r="B150" t="inlineStr">
        <is>
          <t>2024-10</t>
        </is>
      </c>
      <c r="C150" t="inlineStr">
        <is>
          <t>CC900</t>
        </is>
      </c>
      <c r="D150" t="inlineStr">
        <is>
          <t>Corporate</t>
        </is>
      </c>
      <c r="E150" t="inlineStr">
        <is>
          <t>8000</t>
        </is>
      </c>
      <c r="F150" t="inlineStr">
        <is>
          <t>Interest expense</t>
        </is>
      </c>
      <c r="G150" t="inlineStr">
        <is>
          <t>other</t>
        </is>
      </c>
      <c r="H150" t="inlineStr">
        <is>
          <t>38593.75</t>
        </is>
      </c>
      <c r="I150" t="inlineStr"/>
    </row>
    <row r="151">
      <c r="A151" t="inlineStr">
        <is>
          <t>JE000150</t>
        </is>
      </c>
      <c r="B151" t="inlineStr">
        <is>
          <t>2024-10</t>
        </is>
      </c>
      <c r="C151" t="inlineStr">
        <is>
          <t>CC900</t>
        </is>
      </c>
      <c r="D151" t="inlineStr">
        <is>
          <t>Corporate</t>
        </is>
      </c>
      <c r="E151" t="inlineStr">
        <is>
          <t>9000</t>
        </is>
      </c>
      <c r="F151" t="inlineStr">
        <is>
          <t>Income tax</t>
        </is>
      </c>
      <c r="G151" t="inlineStr">
        <is>
          <t>other</t>
        </is>
      </c>
      <c r="H151" t="inlineStr">
        <is>
          <t>18680.21</t>
        </is>
      </c>
      <c r="I151" t="inlineStr"/>
    </row>
    <row r="152">
      <c r="A152" t="inlineStr">
        <is>
          <t>JE000151</t>
        </is>
      </c>
      <c r="B152" t="inlineStr">
        <is>
          <t>2024-11</t>
        </is>
      </c>
      <c r="C152" t="inlineStr">
        <is>
          <t>CC900</t>
        </is>
      </c>
      <c r="D152" t="inlineStr">
        <is>
          <t>Corporate</t>
        </is>
      </c>
      <c r="E152" t="inlineStr">
        <is>
          <t>4000</t>
        </is>
      </c>
      <c r="F152" t="inlineStr">
        <is>
          <t>Transaction fees</t>
        </is>
      </c>
      <c r="G152" t="inlineStr">
        <is>
          <t>revenue</t>
        </is>
      </c>
      <c r="H152" t="inlineStr">
        <is>
          <t>-2031961.08</t>
        </is>
      </c>
      <c r="I152" t="inlineStr"/>
    </row>
    <row r="153">
      <c r="A153" t="inlineStr">
        <is>
          <t>JE000152</t>
        </is>
      </c>
      <c r="B153" t="inlineStr">
        <is>
          <t>2024-11</t>
        </is>
      </c>
      <c r="C153" t="inlineStr">
        <is>
          <t>CC900</t>
        </is>
      </c>
      <c r="D153" t="inlineStr">
        <is>
          <t>Corporate</t>
        </is>
      </c>
      <c r="E153" t="inlineStr">
        <is>
          <t>4100</t>
        </is>
      </c>
      <c r="F153" t="inlineStr">
        <is>
          <t>Subscription fees</t>
        </is>
      </c>
      <c r="G153" t="inlineStr">
        <is>
          <t>revenue</t>
        </is>
      </c>
      <c r="H153" t="inlineStr">
        <is>
          <t>-637200.00</t>
        </is>
      </c>
      <c r="I153" t="inlineStr"/>
    </row>
    <row r="154">
      <c r="A154" t="inlineStr">
        <is>
          <t>JE000153</t>
        </is>
      </c>
      <c r="B154" t="inlineStr">
        <is>
          <t>2024-11</t>
        </is>
      </c>
      <c r="C154" t="inlineStr">
        <is>
          <t>CC900</t>
        </is>
      </c>
      <c r="D154" t="inlineStr">
        <is>
          <t>Corporate</t>
        </is>
      </c>
      <c r="E154" t="inlineStr">
        <is>
          <t>4200</t>
        </is>
      </c>
      <c r="F154" t="inlineStr">
        <is>
          <t>FX markup</t>
        </is>
      </c>
      <c r="G154" t="inlineStr">
        <is>
          <t>revenue</t>
        </is>
      </c>
      <c r="H154" t="inlineStr">
        <is>
          <t>-220713.01</t>
        </is>
      </c>
      <c r="I154" t="inlineStr"/>
    </row>
    <row r="155">
      <c r="A155" t="inlineStr">
        <is>
          <t>JE000154</t>
        </is>
      </c>
      <c r="B155" t="inlineStr">
        <is>
          <t>2024-11</t>
        </is>
      </c>
      <c r="C155" t="inlineStr">
        <is>
          <t>CC900</t>
        </is>
      </c>
      <c r="D155" t="inlineStr">
        <is>
          <t>Corporate</t>
        </is>
      </c>
      <c r="E155" t="inlineStr">
        <is>
          <t>5000</t>
        </is>
      </c>
      <c r="F155" t="inlineStr">
        <is>
          <t>Scheme and interchange costs</t>
        </is>
      </c>
      <c r="G155" t="inlineStr">
        <is>
          <t>cogs</t>
        </is>
      </c>
      <c r="H155" t="inlineStr">
        <is>
          <t>1156115.79</t>
        </is>
      </c>
      <c r="I155" t="inlineStr"/>
    </row>
    <row r="156">
      <c r="A156" t="inlineStr">
        <is>
          <t>JE000155</t>
        </is>
      </c>
      <c r="B156" t="inlineStr">
        <is>
          <t>2024-11</t>
        </is>
      </c>
      <c r="C156" t="inlineStr">
        <is>
          <t>CC900</t>
        </is>
      </c>
      <c r="D156" t="inlineStr">
        <is>
          <t>Corporate</t>
        </is>
      </c>
      <c r="E156" t="inlineStr">
        <is>
          <t>5100</t>
        </is>
      </c>
      <c r="F156" t="inlineStr">
        <is>
          <t>Cloud hosting</t>
        </is>
      </c>
      <c r="G156" t="inlineStr">
        <is>
          <t>cogs</t>
        </is>
      </c>
      <c r="H156" t="inlineStr">
        <is>
          <t>101600.70</t>
        </is>
      </c>
      <c r="I156" t="inlineStr"/>
    </row>
    <row r="157">
      <c r="A157" t="inlineStr">
        <is>
          <t>JE000156</t>
        </is>
      </c>
      <c r="B157" t="inlineStr">
        <is>
          <t>2024-11</t>
        </is>
      </c>
      <c r="C157" t="inlineStr">
        <is>
          <t>CC100</t>
        </is>
      </c>
      <c r="D157" t="inlineStr">
        <is>
          <t>Engineering</t>
        </is>
      </c>
      <c r="E157" t="inlineStr">
        <is>
          <t>6000</t>
        </is>
      </c>
      <c r="F157" t="inlineStr">
        <is>
          <t>Salaries and wages</t>
        </is>
      </c>
      <c r="G157" t="inlineStr">
        <is>
          <t>opex</t>
        </is>
      </c>
      <c r="H157" t="inlineStr">
        <is>
          <t>507400.00</t>
        </is>
      </c>
      <c r="I157" t="inlineStr"/>
    </row>
    <row r="158">
      <c r="A158" t="inlineStr">
        <is>
          <t>JE000157</t>
        </is>
      </c>
      <c r="B158" t="inlineStr">
        <is>
          <t>2024-11</t>
        </is>
      </c>
      <c r="C158" t="inlineStr">
        <is>
          <t>CC200</t>
        </is>
      </c>
      <c r="D158" t="inlineStr">
        <is>
          <t>Sales</t>
        </is>
      </c>
      <c r="E158" t="inlineStr">
        <is>
          <t>6000</t>
        </is>
      </c>
      <c r="F158" t="inlineStr">
        <is>
          <t>Salaries and wages</t>
        </is>
      </c>
      <c r="G158" t="inlineStr">
        <is>
          <t>opex</t>
        </is>
      </c>
      <c r="H158" t="inlineStr">
        <is>
          <t>150400.00</t>
        </is>
      </c>
      <c r="I158" t="inlineStr"/>
    </row>
    <row r="159">
      <c r="A159" t="inlineStr">
        <is>
          <t>JE000158</t>
        </is>
      </c>
      <c r="B159" t="inlineStr">
        <is>
          <t>2024-11</t>
        </is>
      </c>
      <c r="C159" t="inlineStr">
        <is>
          <t>CC300</t>
        </is>
      </c>
      <c r="D159" t="inlineStr">
        <is>
          <t>Marketing</t>
        </is>
      </c>
      <c r="E159" t="inlineStr">
        <is>
          <t>6000</t>
        </is>
      </c>
      <c r="F159" t="inlineStr">
        <is>
          <t>Salaries and wages</t>
        </is>
      </c>
      <c r="G159" t="inlineStr">
        <is>
          <t>opex</t>
        </is>
      </c>
      <c r="H159" t="inlineStr">
        <is>
          <t>62300.00</t>
        </is>
      </c>
      <c r="I159" t="inlineStr"/>
    </row>
    <row r="160">
      <c r="A160" t="inlineStr">
        <is>
          <t>JE000159</t>
        </is>
      </c>
      <c r="B160" t="inlineStr">
        <is>
          <t>2024-11</t>
        </is>
      </c>
      <c r="C160" t="inlineStr">
        <is>
          <t>CC400</t>
        </is>
      </c>
      <c r="D160" t="inlineStr">
        <is>
          <t>Customer support</t>
        </is>
      </c>
      <c r="E160" t="inlineStr">
        <is>
          <t>6000</t>
        </is>
      </c>
      <c r="F160" t="inlineStr">
        <is>
          <t>Salaries and wages</t>
        </is>
      </c>
      <c r="G160" t="inlineStr">
        <is>
          <t>opex</t>
        </is>
      </c>
      <c r="H160" t="inlineStr">
        <is>
          <t>117600.00</t>
        </is>
      </c>
      <c r="I160" t="inlineStr"/>
    </row>
    <row r="161">
      <c r="A161" t="inlineStr">
        <is>
          <t>JE000160</t>
        </is>
      </c>
      <c r="B161" t="inlineStr">
        <is>
          <t>2024-11</t>
        </is>
      </c>
      <c r="C161" t="inlineStr">
        <is>
          <t>CC500</t>
        </is>
      </c>
      <c r="D161" t="inlineStr">
        <is>
          <t>General and administrative</t>
        </is>
      </c>
      <c r="E161" t="inlineStr">
        <is>
          <t>6000</t>
        </is>
      </c>
      <c r="F161" t="inlineStr">
        <is>
          <t>Salaries and wages</t>
        </is>
      </c>
      <c r="G161" t="inlineStr">
        <is>
          <t>opex</t>
        </is>
      </c>
      <c r="H161" t="inlineStr">
        <is>
          <t>109200.00</t>
        </is>
      </c>
      <c r="I161" t="inlineStr"/>
    </row>
    <row r="162">
      <c r="A162" t="inlineStr">
        <is>
          <t>JE000161</t>
        </is>
      </c>
      <c r="B162" t="inlineStr">
        <is>
          <t>2024-11</t>
        </is>
      </c>
      <c r="C162" t="inlineStr">
        <is>
          <t>CC300</t>
        </is>
      </c>
      <c r="D162" t="inlineStr">
        <is>
          <t>Marketing</t>
        </is>
      </c>
      <c r="E162" t="inlineStr">
        <is>
          <t>6100</t>
        </is>
      </c>
      <c r="F162" t="inlineStr">
        <is>
          <t>Marketing programmes</t>
        </is>
      </c>
      <c r="G162" t="inlineStr">
        <is>
          <t>opex</t>
        </is>
      </c>
      <c r="H162" t="inlineStr">
        <is>
          <t>180000.00</t>
        </is>
      </c>
      <c r="I162" t="inlineStr"/>
    </row>
    <row r="163">
      <c r="A163" t="inlineStr">
        <is>
          <t>JE000162</t>
        </is>
      </c>
      <c r="B163" t="inlineStr">
        <is>
          <t>2024-11</t>
        </is>
      </c>
      <c r="C163" t="inlineStr">
        <is>
          <t>CC500</t>
        </is>
      </c>
      <c r="D163" t="inlineStr">
        <is>
          <t>General and administrative</t>
        </is>
      </c>
      <c r="E163" t="inlineStr">
        <is>
          <t>6200</t>
        </is>
      </c>
      <c r="F163" t="inlineStr">
        <is>
          <t>Facilities and administration</t>
        </is>
      </c>
      <c r="G163" t="inlineStr">
        <is>
          <t>opex</t>
        </is>
      </c>
      <c r="H163" t="inlineStr">
        <is>
          <t>148000.00</t>
        </is>
      </c>
      <c r="I163" t="inlineStr"/>
    </row>
    <row r="164">
      <c r="A164" t="inlineStr">
        <is>
          <t>JE000163</t>
        </is>
      </c>
      <c r="B164" t="inlineStr">
        <is>
          <t>2024-11</t>
        </is>
      </c>
      <c r="C164" t="inlineStr">
        <is>
          <t>CC900</t>
        </is>
      </c>
      <c r="D164" t="inlineStr">
        <is>
          <t>Corporate</t>
        </is>
      </c>
      <c r="E164" t="inlineStr">
        <is>
          <t>7000</t>
        </is>
      </c>
      <c r="F164" t="inlineStr">
        <is>
          <t>Depreciation</t>
        </is>
      </c>
      <c r="G164" t="inlineStr">
        <is>
          <t>other</t>
        </is>
      </c>
      <c r="H164" t="inlineStr">
        <is>
          <t>82829.01</t>
        </is>
      </c>
      <c r="I164" t="inlineStr"/>
    </row>
    <row r="165">
      <c r="A165" t="inlineStr">
        <is>
          <t>JE000164</t>
        </is>
      </c>
      <c r="B165" t="inlineStr">
        <is>
          <t>2024-11</t>
        </is>
      </c>
      <c r="C165" t="inlineStr">
        <is>
          <t>CC900</t>
        </is>
      </c>
      <c r="D165" t="inlineStr">
        <is>
          <t>Corporate</t>
        </is>
      </c>
      <c r="E165" t="inlineStr">
        <is>
          <t>8000</t>
        </is>
      </c>
      <c r="F165" t="inlineStr">
        <is>
          <t>Interest expense</t>
        </is>
      </c>
      <c r="G165" t="inlineStr">
        <is>
          <t>other</t>
        </is>
      </c>
      <c r="H165" t="inlineStr">
        <is>
          <t>37604.17</t>
        </is>
      </c>
      <c r="I165" t="inlineStr"/>
    </row>
    <row r="166">
      <c r="A166" t="inlineStr">
        <is>
          <t>JE000165</t>
        </is>
      </c>
      <c r="B166" t="inlineStr">
        <is>
          <t>2024-11</t>
        </is>
      </c>
      <c r="C166" t="inlineStr">
        <is>
          <t>CC900</t>
        </is>
      </c>
      <c r="D166" t="inlineStr">
        <is>
          <t>Corporate</t>
        </is>
      </c>
      <c r="E166" t="inlineStr">
        <is>
          <t>9000</t>
        </is>
      </c>
      <c r="F166" t="inlineStr">
        <is>
          <t>Income tax</t>
        </is>
      </c>
      <c r="G166" t="inlineStr">
        <is>
          <t>other</t>
        </is>
      </c>
      <c r="H166" t="inlineStr">
        <is>
          <t>49733.13</t>
        </is>
      </c>
      <c r="I166" t="inlineStr"/>
    </row>
    <row r="167">
      <c r="A167" t="inlineStr">
        <is>
          <t>JE000166</t>
        </is>
      </c>
      <c r="B167" t="inlineStr">
        <is>
          <t>2024-12</t>
        </is>
      </c>
      <c r="C167" t="inlineStr">
        <is>
          <t>CC900</t>
        </is>
      </c>
      <c r="D167" t="inlineStr">
        <is>
          <t>Corporate</t>
        </is>
      </c>
      <c r="E167" t="inlineStr">
        <is>
          <t>4000</t>
        </is>
      </c>
      <c r="F167" t="inlineStr">
        <is>
          <t>Transaction fees</t>
        </is>
      </c>
      <c r="G167" t="inlineStr">
        <is>
          <t>revenue</t>
        </is>
      </c>
      <c r="H167" t="inlineStr">
        <is>
          <t>-2137931.30</t>
        </is>
      </c>
      <c r="I167" t="inlineStr"/>
    </row>
    <row r="168">
      <c r="A168" t="inlineStr">
        <is>
          <t>JE000167</t>
        </is>
      </c>
      <c r="B168" t="inlineStr">
        <is>
          <t>2024-12</t>
        </is>
      </c>
      <c r="C168" t="inlineStr">
        <is>
          <t>CC900</t>
        </is>
      </c>
      <c r="D168" t="inlineStr">
        <is>
          <t>Corporate</t>
        </is>
      </c>
      <c r="E168" t="inlineStr">
        <is>
          <t>4100</t>
        </is>
      </c>
      <c r="F168" t="inlineStr">
        <is>
          <t>Subscription fees</t>
        </is>
      </c>
      <c r="G168" t="inlineStr">
        <is>
          <t>revenue</t>
        </is>
      </c>
      <c r="H168" t="inlineStr">
        <is>
          <t>-648000.00</t>
        </is>
      </c>
      <c r="I168" t="inlineStr"/>
    </row>
    <row r="169">
      <c r="A169" t="inlineStr">
        <is>
          <t>JE000168</t>
        </is>
      </c>
      <c r="B169" t="inlineStr">
        <is>
          <t>2024-12</t>
        </is>
      </c>
      <c r="C169" t="inlineStr">
        <is>
          <t>CC900</t>
        </is>
      </c>
      <c r="D169" t="inlineStr">
        <is>
          <t>Corporate</t>
        </is>
      </c>
      <c r="E169" t="inlineStr">
        <is>
          <t>4200</t>
        </is>
      </c>
      <c r="F169" t="inlineStr">
        <is>
          <t>FX markup</t>
        </is>
      </c>
      <c r="G169" t="inlineStr">
        <is>
          <t>revenue</t>
        </is>
      </c>
      <c r="H169" t="inlineStr">
        <is>
          <t>-232223.57</t>
        </is>
      </c>
      <c r="I169" t="inlineStr"/>
    </row>
    <row r="170">
      <c r="A170" t="inlineStr">
        <is>
          <t>JE000169</t>
        </is>
      </c>
      <c r="B170" t="inlineStr">
        <is>
          <t>2024-12</t>
        </is>
      </c>
      <c r="C170" t="inlineStr">
        <is>
          <t>CC900</t>
        </is>
      </c>
      <c r="D170" t="inlineStr">
        <is>
          <t>Corporate</t>
        </is>
      </c>
      <c r="E170" t="inlineStr">
        <is>
          <t>5000</t>
        </is>
      </c>
      <c r="F170" t="inlineStr">
        <is>
          <t>Scheme and interchange costs</t>
        </is>
      </c>
      <c r="G170" t="inlineStr">
        <is>
          <t>cogs</t>
        </is>
      </c>
      <c r="H170" t="inlineStr">
        <is>
          <t>1216409.19</t>
        </is>
      </c>
      <c r="I170" t="inlineStr"/>
    </row>
    <row r="171">
      <c r="A171" t="inlineStr">
        <is>
          <t>JE000170</t>
        </is>
      </c>
      <c r="B171" t="inlineStr">
        <is>
          <t>2024-12</t>
        </is>
      </c>
      <c r="C171" t="inlineStr">
        <is>
          <t>CC900</t>
        </is>
      </c>
      <c r="D171" t="inlineStr">
        <is>
          <t>Corporate</t>
        </is>
      </c>
      <c r="E171" t="inlineStr">
        <is>
          <t>5100</t>
        </is>
      </c>
      <c r="F171" t="inlineStr">
        <is>
          <t>Cloud hosting</t>
        </is>
      </c>
      <c r="G171" t="inlineStr">
        <is>
          <t>cogs</t>
        </is>
      </c>
      <c r="H171" t="inlineStr">
        <is>
          <t>103429.51</t>
        </is>
      </c>
      <c r="I171" t="inlineStr"/>
    </row>
    <row r="172">
      <c r="A172" t="inlineStr">
        <is>
          <t>JE000171</t>
        </is>
      </c>
      <c r="B172" t="inlineStr">
        <is>
          <t>2024-12</t>
        </is>
      </c>
      <c r="C172" t="inlineStr">
        <is>
          <t>CC100</t>
        </is>
      </c>
      <c r="D172" t="inlineStr">
        <is>
          <t>Engineering</t>
        </is>
      </c>
      <c r="E172" t="inlineStr">
        <is>
          <t>6000</t>
        </is>
      </c>
      <c r="F172" t="inlineStr">
        <is>
          <t>Salaries and wages</t>
        </is>
      </c>
      <c r="G172" t="inlineStr">
        <is>
          <t>opex</t>
        </is>
      </c>
      <c r="H172" t="inlineStr">
        <is>
          <t>507400.00</t>
        </is>
      </c>
      <c r="I172" t="inlineStr"/>
    </row>
    <row r="173">
      <c r="A173" t="inlineStr">
        <is>
          <t>JE000172</t>
        </is>
      </c>
      <c r="B173" t="inlineStr">
        <is>
          <t>2024-12</t>
        </is>
      </c>
      <c r="C173" t="inlineStr">
        <is>
          <t>CC200</t>
        </is>
      </c>
      <c r="D173" t="inlineStr">
        <is>
          <t>Sales</t>
        </is>
      </c>
      <c r="E173" t="inlineStr">
        <is>
          <t>6000</t>
        </is>
      </c>
      <c r="F173" t="inlineStr">
        <is>
          <t>Salaries and wages</t>
        </is>
      </c>
      <c r="G173" t="inlineStr">
        <is>
          <t>opex</t>
        </is>
      </c>
      <c r="H173" t="inlineStr">
        <is>
          <t>150400.00</t>
        </is>
      </c>
      <c r="I173" t="inlineStr"/>
    </row>
    <row r="174">
      <c r="A174" t="inlineStr">
        <is>
          <t>JE000173</t>
        </is>
      </c>
      <c r="B174" t="inlineStr">
        <is>
          <t>2024-12</t>
        </is>
      </c>
      <c r="C174" t="inlineStr">
        <is>
          <t>CC300</t>
        </is>
      </c>
      <c r="D174" t="inlineStr">
        <is>
          <t>Marketing</t>
        </is>
      </c>
      <c r="E174" t="inlineStr">
        <is>
          <t>6000</t>
        </is>
      </c>
      <c r="F174" t="inlineStr">
        <is>
          <t>Salaries and wages</t>
        </is>
      </c>
      <c r="G174" t="inlineStr">
        <is>
          <t>opex</t>
        </is>
      </c>
      <c r="H174" t="inlineStr">
        <is>
          <t>62300.00</t>
        </is>
      </c>
      <c r="I174" t="inlineStr"/>
    </row>
    <row r="175">
      <c r="A175" t="inlineStr">
        <is>
          <t>JE000174</t>
        </is>
      </c>
      <c r="B175" t="inlineStr">
        <is>
          <t>2024-12</t>
        </is>
      </c>
      <c r="C175" t="inlineStr">
        <is>
          <t>CC400</t>
        </is>
      </c>
      <c r="D175" t="inlineStr">
        <is>
          <t>Customer support</t>
        </is>
      </c>
      <c r="E175" t="inlineStr">
        <is>
          <t>6000</t>
        </is>
      </c>
      <c r="F175" t="inlineStr">
        <is>
          <t>Salaries and wages</t>
        </is>
      </c>
      <c r="G175" t="inlineStr">
        <is>
          <t>opex</t>
        </is>
      </c>
      <c r="H175" t="inlineStr">
        <is>
          <t>117600.00</t>
        </is>
      </c>
      <c r="I175" t="inlineStr"/>
    </row>
    <row r="176">
      <c r="A176" t="inlineStr">
        <is>
          <t>JE000175</t>
        </is>
      </c>
      <c r="B176" t="inlineStr">
        <is>
          <t>2024-12</t>
        </is>
      </c>
      <c r="C176" t="inlineStr">
        <is>
          <t>CC500</t>
        </is>
      </c>
      <c r="D176" t="inlineStr">
        <is>
          <t>General and administrative</t>
        </is>
      </c>
      <c r="E176" t="inlineStr">
        <is>
          <t>6000</t>
        </is>
      </c>
      <c r="F176" t="inlineStr">
        <is>
          <t>Salaries and wages</t>
        </is>
      </c>
      <c r="G176" t="inlineStr">
        <is>
          <t>opex</t>
        </is>
      </c>
      <c r="H176" t="inlineStr">
        <is>
          <t>109200.00</t>
        </is>
      </c>
      <c r="I176" t="inlineStr"/>
    </row>
    <row r="177">
      <c r="A177" t="inlineStr">
        <is>
          <t>JE000176</t>
        </is>
      </c>
      <c r="B177" t="inlineStr">
        <is>
          <t>2024-12</t>
        </is>
      </c>
      <c r="C177" t="inlineStr">
        <is>
          <t>CC300</t>
        </is>
      </c>
      <c r="D177" t="inlineStr">
        <is>
          <t>Marketing</t>
        </is>
      </c>
      <c r="E177" t="inlineStr">
        <is>
          <t>6100</t>
        </is>
      </c>
      <c r="F177" t="inlineStr">
        <is>
          <t>Marketing programmes</t>
        </is>
      </c>
      <c r="G177" t="inlineStr">
        <is>
          <t>opex</t>
        </is>
      </c>
      <c r="H177" t="inlineStr">
        <is>
          <t>180000.00</t>
        </is>
      </c>
      <c r="I177" t="inlineStr"/>
    </row>
    <row r="178">
      <c r="A178" t="inlineStr">
        <is>
          <t>JE000177</t>
        </is>
      </c>
      <c r="B178" t="inlineStr">
        <is>
          <t>2024-12</t>
        </is>
      </c>
      <c r="C178" t="inlineStr">
        <is>
          <t>CC500</t>
        </is>
      </c>
      <c r="D178" t="inlineStr">
        <is>
          <t>General and administrative</t>
        </is>
      </c>
      <c r="E178" t="inlineStr">
        <is>
          <t>6200</t>
        </is>
      </c>
      <c r="F178" t="inlineStr">
        <is>
          <t>Facilities and administration</t>
        </is>
      </c>
      <c r="G178" t="inlineStr">
        <is>
          <t>opex</t>
        </is>
      </c>
      <c r="H178" t="inlineStr">
        <is>
          <t>148000.00</t>
        </is>
      </c>
      <c r="I178" t="inlineStr"/>
    </row>
    <row r="179">
      <c r="A179" t="inlineStr">
        <is>
          <t>JE000178</t>
        </is>
      </c>
      <c r="B179" t="inlineStr">
        <is>
          <t>2024-12</t>
        </is>
      </c>
      <c r="C179" t="inlineStr">
        <is>
          <t>CC900</t>
        </is>
      </c>
      <c r="D179" t="inlineStr">
        <is>
          <t>Corporate</t>
        </is>
      </c>
      <c r="E179" t="inlineStr">
        <is>
          <t>7000</t>
        </is>
      </c>
      <c r="F179" t="inlineStr">
        <is>
          <t>Depreciation</t>
        </is>
      </c>
      <c r="G179" t="inlineStr">
        <is>
          <t>other</t>
        </is>
      </c>
      <c r="H179" t="inlineStr">
        <is>
          <t>83702.52</t>
        </is>
      </c>
      <c r="I179" t="inlineStr"/>
    </row>
    <row r="180">
      <c r="A180" t="inlineStr">
        <is>
          <t>JE000179</t>
        </is>
      </c>
      <c r="B180" t="inlineStr">
        <is>
          <t>2024-12</t>
        </is>
      </c>
      <c r="C180" t="inlineStr">
        <is>
          <t>CC900</t>
        </is>
      </c>
      <c r="D180" t="inlineStr">
        <is>
          <t>Corporate</t>
        </is>
      </c>
      <c r="E180" t="inlineStr">
        <is>
          <t>8000</t>
        </is>
      </c>
      <c r="F180" t="inlineStr">
        <is>
          <t>Interest expense</t>
        </is>
      </c>
      <c r="G180" t="inlineStr">
        <is>
          <t>other</t>
        </is>
      </c>
      <c r="H180" t="inlineStr">
        <is>
          <t>36614.58</t>
        </is>
      </c>
      <c r="I180" t="inlineStr"/>
    </row>
    <row r="181">
      <c r="A181" t="inlineStr">
        <is>
          <t>JE000180</t>
        </is>
      </c>
      <c r="B181" t="inlineStr">
        <is>
          <t>2024-12</t>
        </is>
      </c>
      <c r="C181" t="inlineStr">
        <is>
          <t>CC900</t>
        </is>
      </c>
      <c r="D181" t="inlineStr">
        <is>
          <t>Corporate</t>
        </is>
      </c>
      <c r="E181" t="inlineStr">
        <is>
          <t>9000</t>
        </is>
      </c>
      <c r="F181" t="inlineStr">
        <is>
          <t>Income tax</t>
        </is>
      </c>
      <c r="G181" t="inlineStr">
        <is>
          <t>other</t>
        </is>
      </c>
      <c r="H181" t="inlineStr">
        <is>
          <t>63650.80</t>
        </is>
      </c>
      <c r="I181" t="inlineStr"/>
    </row>
    <row r="182">
      <c r="A182" t="inlineStr">
        <is>
          <t>JE000181</t>
        </is>
      </c>
      <c r="B182" t="inlineStr">
        <is>
          <t>2025-01</t>
        </is>
      </c>
      <c r="C182" t="inlineStr">
        <is>
          <t>CC900</t>
        </is>
      </c>
      <c r="D182" t="inlineStr">
        <is>
          <t>Corporate</t>
        </is>
      </c>
      <c r="E182" t="inlineStr">
        <is>
          <t>4000</t>
        </is>
      </c>
      <c r="F182" t="inlineStr">
        <is>
          <t>Transaction fees</t>
        </is>
      </c>
      <c r="G182" t="inlineStr">
        <is>
          <t>revenue</t>
        </is>
      </c>
      <c r="H182" t="inlineStr">
        <is>
          <t>-1599570.71</t>
        </is>
      </c>
      <c r="I182" t="inlineStr"/>
    </row>
    <row r="183">
      <c r="A183" t="inlineStr">
        <is>
          <t>JE000182</t>
        </is>
      </c>
      <c r="B183" t="inlineStr">
        <is>
          <t>2025-01</t>
        </is>
      </c>
      <c r="C183" t="inlineStr">
        <is>
          <t>CC900</t>
        </is>
      </c>
      <c r="D183" t="inlineStr">
        <is>
          <t>Corporate</t>
        </is>
      </c>
      <c r="E183" t="inlineStr">
        <is>
          <t>4100</t>
        </is>
      </c>
      <c r="F183" t="inlineStr">
        <is>
          <t>Subscription fees</t>
        </is>
      </c>
      <c r="G183" t="inlineStr">
        <is>
          <t>revenue</t>
        </is>
      </c>
      <c r="H183" t="inlineStr">
        <is>
          <t>-660600.00</t>
        </is>
      </c>
      <c r="I183" t="inlineStr"/>
    </row>
    <row r="184">
      <c r="A184" t="inlineStr">
        <is>
          <t>JE000183</t>
        </is>
      </c>
      <c r="B184" t="inlineStr">
        <is>
          <t>2025-01</t>
        </is>
      </c>
      <c r="C184" t="inlineStr">
        <is>
          <t>CC900</t>
        </is>
      </c>
      <c r="D184" t="inlineStr">
        <is>
          <t>Corporate</t>
        </is>
      </c>
      <c r="E184" t="inlineStr">
        <is>
          <t>4200</t>
        </is>
      </c>
      <c r="F184" t="inlineStr">
        <is>
          <t>FX markup</t>
        </is>
      </c>
      <c r="G184" t="inlineStr">
        <is>
          <t>revenue</t>
        </is>
      </c>
      <c r="H184" t="inlineStr">
        <is>
          <t>-173746.47</t>
        </is>
      </c>
      <c r="I184" t="inlineStr"/>
    </row>
    <row r="185">
      <c r="A185" t="inlineStr">
        <is>
          <t>JE000184</t>
        </is>
      </c>
      <c r="B185" t="inlineStr">
        <is>
          <t>2025-01</t>
        </is>
      </c>
      <c r="C185" t="inlineStr">
        <is>
          <t>CC900</t>
        </is>
      </c>
      <c r="D185" t="inlineStr">
        <is>
          <t>Corporate</t>
        </is>
      </c>
      <c r="E185" t="inlineStr">
        <is>
          <t>5000</t>
        </is>
      </c>
      <c r="F185" t="inlineStr">
        <is>
          <t>Scheme and interchange costs</t>
        </is>
      </c>
      <c r="G185" t="inlineStr">
        <is>
          <t>cogs</t>
        </is>
      </c>
      <c r="H185" t="inlineStr">
        <is>
          <t>910100.58</t>
        </is>
      </c>
      <c r="I185" t="inlineStr"/>
    </row>
    <row r="186">
      <c r="A186" t="inlineStr">
        <is>
          <t>JE000185</t>
        </is>
      </c>
      <c r="B186" t="inlineStr">
        <is>
          <t>2025-01</t>
        </is>
      </c>
      <c r="C186" t="inlineStr">
        <is>
          <t>CC900</t>
        </is>
      </c>
      <c r="D186" t="inlineStr">
        <is>
          <t>Corporate</t>
        </is>
      </c>
      <c r="E186" t="inlineStr">
        <is>
          <t>5100</t>
        </is>
      </c>
      <c r="F186" t="inlineStr">
        <is>
          <t>Cloud hosting</t>
        </is>
      </c>
      <c r="G186" t="inlineStr">
        <is>
          <t>cogs</t>
        </is>
      </c>
      <c r="H186" t="inlineStr">
        <is>
          <t>105291.25</t>
        </is>
      </c>
      <c r="I186" t="inlineStr"/>
    </row>
    <row r="187">
      <c r="A187" t="inlineStr">
        <is>
          <t>JE000186</t>
        </is>
      </c>
      <c r="B187" t="inlineStr">
        <is>
          <t>2025-01</t>
        </is>
      </c>
      <c r="C187" t="inlineStr">
        <is>
          <t>CC100</t>
        </is>
      </c>
      <c r="D187" t="inlineStr">
        <is>
          <t>Engineering</t>
        </is>
      </c>
      <c r="E187" t="inlineStr">
        <is>
          <t>6000</t>
        </is>
      </c>
      <c r="F187" t="inlineStr">
        <is>
          <t>Salaries and wages</t>
        </is>
      </c>
      <c r="G187" t="inlineStr">
        <is>
          <t>opex</t>
        </is>
      </c>
      <c r="H187" t="inlineStr">
        <is>
          <t>507400.00</t>
        </is>
      </c>
      <c r="I187" t="inlineStr"/>
    </row>
    <row r="188">
      <c r="A188" t="inlineStr">
        <is>
          <t>JE000187</t>
        </is>
      </c>
      <c r="B188" t="inlineStr">
        <is>
          <t>2025-01</t>
        </is>
      </c>
      <c r="C188" t="inlineStr">
        <is>
          <t>CC200</t>
        </is>
      </c>
      <c r="D188" t="inlineStr">
        <is>
          <t>Sales</t>
        </is>
      </c>
      <c r="E188" t="inlineStr">
        <is>
          <t>6000</t>
        </is>
      </c>
      <c r="F188" t="inlineStr">
        <is>
          <t>Salaries and wages</t>
        </is>
      </c>
      <c r="G188" t="inlineStr">
        <is>
          <t>opex</t>
        </is>
      </c>
      <c r="H188" t="inlineStr">
        <is>
          <t>169200.00</t>
        </is>
      </c>
      <c r="I188" t="inlineStr"/>
    </row>
    <row r="189">
      <c r="A189" t="inlineStr">
        <is>
          <t>JE000188</t>
        </is>
      </c>
      <c r="B189" t="inlineStr">
        <is>
          <t>2025-01</t>
        </is>
      </c>
      <c r="C189" t="inlineStr">
        <is>
          <t>CC300</t>
        </is>
      </c>
      <c r="D189" t="inlineStr">
        <is>
          <t>Marketing</t>
        </is>
      </c>
      <c r="E189" t="inlineStr">
        <is>
          <t>6000</t>
        </is>
      </c>
      <c r="F189" t="inlineStr">
        <is>
          <t>Salaries and wages</t>
        </is>
      </c>
      <c r="G189" t="inlineStr">
        <is>
          <t>opex</t>
        </is>
      </c>
      <c r="H189" t="inlineStr">
        <is>
          <t>62300.00</t>
        </is>
      </c>
      <c r="I189" t="inlineStr"/>
    </row>
    <row r="190">
      <c r="A190" t="inlineStr">
        <is>
          <t>JE000189</t>
        </is>
      </c>
      <c r="B190" t="inlineStr">
        <is>
          <t>2025-01</t>
        </is>
      </c>
      <c r="C190" t="inlineStr">
        <is>
          <t>CC400</t>
        </is>
      </c>
      <c r="D190" t="inlineStr">
        <is>
          <t>Customer support</t>
        </is>
      </c>
      <c r="E190" t="inlineStr">
        <is>
          <t>6000</t>
        </is>
      </c>
      <c r="F190" t="inlineStr">
        <is>
          <t>Salaries and wages</t>
        </is>
      </c>
      <c r="G190" t="inlineStr">
        <is>
          <t>opex</t>
        </is>
      </c>
      <c r="H190" t="inlineStr">
        <is>
          <t>117600.00</t>
        </is>
      </c>
      <c r="I190" t="inlineStr"/>
    </row>
    <row r="191">
      <c r="A191" t="inlineStr">
        <is>
          <t>JE000190</t>
        </is>
      </c>
      <c r="B191" t="inlineStr">
        <is>
          <t>2025-01</t>
        </is>
      </c>
      <c r="C191" t="inlineStr">
        <is>
          <t>CC500</t>
        </is>
      </c>
      <c r="D191" t="inlineStr">
        <is>
          <t>General and administrative</t>
        </is>
      </c>
      <c r="E191" t="inlineStr">
        <is>
          <t>6000</t>
        </is>
      </c>
      <c r="F191" t="inlineStr">
        <is>
          <t>Salaries and wages</t>
        </is>
      </c>
      <c r="G191" t="inlineStr">
        <is>
          <t>opex</t>
        </is>
      </c>
      <c r="H191" t="inlineStr">
        <is>
          <t>109200.00</t>
        </is>
      </c>
      <c r="I191" t="inlineStr"/>
    </row>
    <row r="192">
      <c r="A192" t="inlineStr">
        <is>
          <t>JE000191</t>
        </is>
      </c>
      <c r="B192" t="inlineStr">
        <is>
          <t>2025-01</t>
        </is>
      </c>
      <c r="C192" t="inlineStr">
        <is>
          <t>CC300</t>
        </is>
      </c>
      <c r="D192" t="inlineStr">
        <is>
          <t>Marketing</t>
        </is>
      </c>
      <c r="E192" t="inlineStr">
        <is>
          <t>6100</t>
        </is>
      </c>
      <c r="F192" t="inlineStr">
        <is>
          <t>Marketing programmes</t>
        </is>
      </c>
      <c r="G192" t="inlineStr">
        <is>
          <t>opex</t>
        </is>
      </c>
      <c r="H192" t="inlineStr">
        <is>
          <t>180000.00</t>
        </is>
      </c>
      <c r="I192" t="inlineStr"/>
    </row>
    <row r="193">
      <c r="A193" t="inlineStr">
        <is>
          <t>JE000192</t>
        </is>
      </c>
      <c r="B193" t="inlineStr">
        <is>
          <t>2025-01</t>
        </is>
      </c>
      <c r="C193" t="inlineStr">
        <is>
          <t>CC500</t>
        </is>
      </c>
      <c r="D193" t="inlineStr">
        <is>
          <t>General and administrative</t>
        </is>
      </c>
      <c r="E193" t="inlineStr">
        <is>
          <t>6200</t>
        </is>
      </c>
      <c r="F193" t="inlineStr">
        <is>
          <t>Facilities and administration</t>
        </is>
      </c>
      <c r="G193" t="inlineStr">
        <is>
          <t>opex</t>
        </is>
      </c>
      <c r="H193" t="inlineStr">
        <is>
          <t>156880.00</t>
        </is>
      </c>
      <c r="I193" t="inlineStr"/>
    </row>
    <row r="194">
      <c r="A194" t="inlineStr">
        <is>
          <t>JE000193</t>
        </is>
      </c>
      <c r="B194" t="inlineStr">
        <is>
          <t>2025-01</t>
        </is>
      </c>
      <c r="C194" t="inlineStr">
        <is>
          <t>CC900</t>
        </is>
      </c>
      <c r="D194" t="inlineStr">
        <is>
          <t>Corporate</t>
        </is>
      </c>
      <c r="E194" t="inlineStr">
        <is>
          <t>7000</t>
        </is>
      </c>
      <c r="F194" t="inlineStr">
        <is>
          <t>Depreciation</t>
        </is>
      </c>
      <c r="G194" t="inlineStr">
        <is>
          <t>other</t>
        </is>
      </c>
      <c r="H194" t="inlineStr">
        <is>
          <t>84555.51</t>
        </is>
      </c>
      <c r="I194" t="inlineStr"/>
    </row>
    <row r="195">
      <c r="A195" t="inlineStr">
        <is>
          <t>JE000194</t>
        </is>
      </c>
      <c r="B195" t="inlineStr">
        <is>
          <t>2025-01</t>
        </is>
      </c>
      <c r="C195" t="inlineStr">
        <is>
          <t>CC900</t>
        </is>
      </c>
      <c r="D195" t="inlineStr">
        <is>
          <t>Corporate</t>
        </is>
      </c>
      <c r="E195" t="inlineStr">
        <is>
          <t>8000</t>
        </is>
      </c>
      <c r="F195" t="inlineStr">
        <is>
          <t>Interest expense</t>
        </is>
      </c>
      <c r="G195" t="inlineStr">
        <is>
          <t>other</t>
        </is>
      </c>
      <c r="H195" t="inlineStr">
        <is>
          <t>35625.00</t>
        </is>
      </c>
      <c r="I195" t="inlineStr"/>
    </row>
    <row r="196">
      <c r="A196" t="inlineStr">
        <is>
          <t>JE000195</t>
        </is>
      </c>
      <c r="B196" t="inlineStr">
        <is>
          <t>2025-01</t>
        </is>
      </c>
      <c r="C196" t="inlineStr">
        <is>
          <t>CC900</t>
        </is>
      </c>
      <c r="D196" t="inlineStr">
        <is>
          <t>Corporate</t>
        </is>
      </c>
      <c r="E196" t="inlineStr">
        <is>
          <t>9000</t>
        </is>
      </c>
      <c r="F196" t="inlineStr">
        <is>
          <t>Income tax</t>
        </is>
      </c>
      <c r="G196" t="inlineStr">
        <is>
          <t>other</t>
        </is>
      </c>
      <c r="H196" t="inlineStr">
        <is>
          <t>0.00</t>
        </is>
      </c>
      <c r="I196" t="inlineStr"/>
    </row>
    <row r="197">
      <c r="A197" t="inlineStr">
        <is>
          <t>JE000196</t>
        </is>
      </c>
      <c r="B197" t="inlineStr">
        <is>
          <t>2025-02</t>
        </is>
      </c>
      <c r="C197" t="inlineStr">
        <is>
          <t>CC900</t>
        </is>
      </c>
      <c r="D197" t="inlineStr">
        <is>
          <t>Corporate</t>
        </is>
      </c>
      <c r="E197" t="inlineStr">
        <is>
          <t>4000</t>
        </is>
      </c>
      <c r="F197" t="inlineStr">
        <is>
          <t>Transaction fees</t>
        </is>
      </c>
      <c r="G197" t="inlineStr">
        <is>
          <t>revenue</t>
        </is>
      </c>
      <c r="H197" t="inlineStr">
        <is>
          <t>-1763805.43</t>
        </is>
      </c>
      <c r="I197" t="inlineStr"/>
    </row>
    <row r="198">
      <c r="A198" t="inlineStr">
        <is>
          <t>JE000197</t>
        </is>
      </c>
      <c r="B198" t="inlineStr">
        <is>
          <t>2025-02</t>
        </is>
      </c>
      <c r="C198" t="inlineStr">
        <is>
          <t>CC900</t>
        </is>
      </c>
      <c r="D198" t="inlineStr">
        <is>
          <t>Corporate</t>
        </is>
      </c>
      <c r="E198" t="inlineStr">
        <is>
          <t>4100</t>
        </is>
      </c>
      <c r="F198" t="inlineStr">
        <is>
          <t>Subscription fees</t>
        </is>
      </c>
      <c r="G198" t="inlineStr">
        <is>
          <t>revenue</t>
        </is>
      </c>
      <c r="H198" t="inlineStr">
        <is>
          <t>-671400.00</t>
        </is>
      </c>
      <c r="I198" t="inlineStr"/>
    </row>
    <row r="199">
      <c r="A199" t="inlineStr">
        <is>
          <t>JE000198</t>
        </is>
      </c>
      <c r="B199" t="inlineStr">
        <is>
          <t>2025-02</t>
        </is>
      </c>
      <c r="C199" t="inlineStr">
        <is>
          <t>CC900</t>
        </is>
      </c>
      <c r="D199" t="inlineStr">
        <is>
          <t>Corporate</t>
        </is>
      </c>
      <c r="E199" t="inlineStr">
        <is>
          <t>4200</t>
        </is>
      </c>
      <c r="F199" t="inlineStr">
        <is>
          <t>FX markup</t>
        </is>
      </c>
      <c r="G199" t="inlineStr">
        <is>
          <t>revenue</t>
        </is>
      </c>
      <c r="H199" t="inlineStr">
        <is>
          <t>-191585.76</t>
        </is>
      </c>
      <c r="I199" t="inlineStr"/>
    </row>
    <row r="200">
      <c r="A200" t="inlineStr">
        <is>
          <t>JE000199</t>
        </is>
      </c>
      <c r="B200" t="inlineStr">
        <is>
          <t>2025-02</t>
        </is>
      </c>
      <c r="C200" t="inlineStr">
        <is>
          <t>CC900</t>
        </is>
      </c>
      <c r="D200" t="inlineStr">
        <is>
          <t>Corporate</t>
        </is>
      </c>
      <c r="E200" t="inlineStr">
        <is>
          <t>5000</t>
        </is>
      </c>
      <c r="F200" t="inlineStr">
        <is>
          <t>Scheme and interchange costs</t>
        </is>
      </c>
      <c r="G200" t="inlineStr">
        <is>
          <t>cogs</t>
        </is>
      </c>
      <c r="H200" t="inlineStr">
        <is>
          <t>1003544.47</t>
        </is>
      </c>
      <c r="I200" t="inlineStr"/>
    </row>
    <row r="201">
      <c r="A201" t="inlineStr">
        <is>
          <t>JE000200</t>
        </is>
      </c>
      <c r="B201" t="inlineStr">
        <is>
          <t>2025-02</t>
        </is>
      </c>
      <c r="C201" t="inlineStr">
        <is>
          <t>CC900</t>
        </is>
      </c>
      <c r="D201" t="inlineStr">
        <is>
          <t>Corporate</t>
        </is>
      </c>
      <c r="E201" t="inlineStr">
        <is>
          <t>5100</t>
        </is>
      </c>
      <c r="F201" t="inlineStr">
        <is>
          <t>Cloud hosting</t>
        </is>
      </c>
      <c r="G201" t="inlineStr">
        <is>
          <t>cogs</t>
        </is>
      </c>
      <c r="H201" t="inlineStr">
        <is>
          <t>107186.49</t>
        </is>
      </c>
      <c r="I201" t="inlineStr"/>
    </row>
    <row r="202">
      <c r="A202" t="inlineStr">
        <is>
          <t>JE000201</t>
        </is>
      </c>
      <c r="B202" t="inlineStr">
        <is>
          <t>2025-02</t>
        </is>
      </c>
      <c r="C202" t="inlineStr">
        <is>
          <t>CC100</t>
        </is>
      </c>
      <c r="D202" t="inlineStr">
        <is>
          <t>Engineering</t>
        </is>
      </c>
      <c r="E202" t="inlineStr">
        <is>
          <t>6000</t>
        </is>
      </c>
      <c r="F202" t="inlineStr">
        <is>
          <t>Salaries and wages</t>
        </is>
      </c>
      <c r="G202" t="inlineStr">
        <is>
          <t>opex</t>
        </is>
      </c>
      <c r="H202" t="inlineStr">
        <is>
          <t>554600.00</t>
        </is>
      </c>
      <c r="I202" t="inlineStr"/>
    </row>
    <row r="203">
      <c r="A203" t="inlineStr">
        <is>
          <t>JE000202</t>
        </is>
      </c>
      <c r="B203" t="inlineStr">
        <is>
          <t>2025-02</t>
        </is>
      </c>
      <c r="C203" t="inlineStr">
        <is>
          <t>CC200</t>
        </is>
      </c>
      <c r="D203" t="inlineStr">
        <is>
          <t>Sales</t>
        </is>
      </c>
      <c r="E203" t="inlineStr">
        <is>
          <t>6000</t>
        </is>
      </c>
      <c r="F203" t="inlineStr">
        <is>
          <t>Salaries and wages</t>
        </is>
      </c>
      <c r="G203" t="inlineStr">
        <is>
          <t>opex</t>
        </is>
      </c>
      <c r="H203" t="inlineStr">
        <is>
          <t>169200.00</t>
        </is>
      </c>
      <c r="I203" t="inlineStr"/>
    </row>
    <row r="204">
      <c r="A204" t="inlineStr">
        <is>
          <t>JE000203</t>
        </is>
      </c>
      <c r="B204" t="inlineStr">
        <is>
          <t>2025-02</t>
        </is>
      </c>
      <c r="C204" t="inlineStr">
        <is>
          <t>CC300</t>
        </is>
      </c>
      <c r="D204" t="inlineStr">
        <is>
          <t>Marketing</t>
        </is>
      </c>
      <c r="E204" t="inlineStr">
        <is>
          <t>6000</t>
        </is>
      </c>
      <c r="F204" t="inlineStr">
        <is>
          <t>Salaries and wages</t>
        </is>
      </c>
      <c r="G204" t="inlineStr">
        <is>
          <t>opex</t>
        </is>
      </c>
      <c r="H204" t="inlineStr">
        <is>
          <t>62300.00</t>
        </is>
      </c>
      <c r="I204" t="inlineStr"/>
    </row>
    <row r="205">
      <c r="A205" t="inlineStr">
        <is>
          <t>JE000204</t>
        </is>
      </c>
      <c r="B205" t="inlineStr">
        <is>
          <t>2025-02</t>
        </is>
      </c>
      <c r="C205" t="inlineStr">
        <is>
          <t>CC400</t>
        </is>
      </c>
      <c r="D205" t="inlineStr">
        <is>
          <t>Customer support</t>
        </is>
      </c>
      <c r="E205" t="inlineStr">
        <is>
          <t>6000</t>
        </is>
      </c>
      <c r="F205" t="inlineStr">
        <is>
          <t>Salaries and wages</t>
        </is>
      </c>
      <c r="G205" t="inlineStr">
        <is>
          <t>opex</t>
        </is>
      </c>
      <c r="H205" t="inlineStr">
        <is>
          <t>117600.00</t>
        </is>
      </c>
      <c r="I205" t="inlineStr"/>
    </row>
    <row r="206">
      <c r="A206" t="inlineStr">
        <is>
          <t>JE000205</t>
        </is>
      </c>
      <c r="B206" t="inlineStr">
        <is>
          <t>2025-02</t>
        </is>
      </c>
      <c r="C206" t="inlineStr">
        <is>
          <t>CC500</t>
        </is>
      </c>
      <c r="D206" t="inlineStr">
        <is>
          <t>General and administrative</t>
        </is>
      </c>
      <c r="E206" t="inlineStr">
        <is>
          <t>6000</t>
        </is>
      </c>
      <c r="F206" t="inlineStr">
        <is>
          <t>Salaries and wages</t>
        </is>
      </c>
      <c r="G206" t="inlineStr">
        <is>
          <t>opex</t>
        </is>
      </c>
      <c r="H206" t="inlineStr">
        <is>
          <t>109200.00</t>
        </is>
      </c>
      <c r="I206" t="inlineStr"/>
    </row>
    <row r="207">
      <c r="A207" t="inlineStr">
        <is>
          <t>JE000206</t>
        </is>
      </c>
      <c r="B207" t="inlineStr">
        <is>
          <t>2025-02</t>
        </is>
      </c>
      <c r="C207" t="inlineStr">
        <is>
          <t>CC300</t>
        </is>
      </c>
      <c r="D207" t="inlineStr">
        <is>
          <t>Marketing</t>
        </is>
      </c>
      <c r="E207" t="inlineStr">
        <is>
          <t>6100</t>
        </is>
      </c>
      <c r="F207" t="inlineStr">
        <is>
          <t>Marketing programmes</t>
        </is>
      </c>
      <c r="G207" t="inlineStr">
        <is>
          <t>opex</t>
        </is>
      </c>
      <c r="H207" t="inlineStr">
        <is>
          <t>180000.00</t>
        </is>
      </c>
      <c r="I207" t="inlineStr"/>
    </row>
    <row r="208">
      <c r="A208" t="inlineStr">
        <is>
          <t>JE000207</t>
        </is>
      </c>
      <c r="B208" t="inlineStr">
        <is>
          <t>2025-02</t>
        </is>
      </c>
      <c r="C208" t="inlineStr">
        <is>
          <t>CC500</t>
        </is>
      </c>
      <c r="D208" t="inlineStr">
        <is>
          <t>General and administrative</t>
        </is>
      </c>
      <c r="E208" t="inlineStr">
        <is>
          <t>6200</t>
        </is>
      </c>
      <c r="F208" t="inlineStr">
        <is>
          <t>Facilities and administration</t>
        </is>
      </c>
      <c r="G208" t="inlineStr">
        <is>
          <t>opex</t>
        </is>
      </c>
      <c r="H208" t="inlineStr">
        <is>
          <t>156880.00</t>
        </is>
      </c>
      <c r="I208" t="inlineStr"/>
    </row>
    <row r="209">
      <c r="A209" t="inlineStr">
        <is>
          <t>JE000208</t>
        </is>
      </c>
      <c r="B209" t="inlineStr">
        <is>
          <t>2025-02</t>
        </is>
      </c>
      <c r="C209" t="inlineStr">
        <is>
          <t>CC900</t>
        </is>
      </c>
      <c r="D209" t="inlineStr">
        <is>
          <t>Corporate</t>
        </is>
      </c>
      <c r="E209" t="inlineStr">
        <is>
          <t>7000</t>
        </is>
      </c>
      <c r="F209" t="inlineStr">
        <is>
          <t>Depreciation</t>
        </is>
      </c>
      <c r="G209" t="inlineStr">
        <is>
          <t>other</t>
        </is>
      </c>
      <c r="H209" t="inlineStr">
        <is>
          <t>85388.46</t>
        </is>
      </c>
      <c r="I209" t="inlineStr"/>
    </row>
    <row r="210">
      <c r="A210" t="inlineStr">
        <is>
          <t>JE000209</t>
        </is>
      </c>
      <c r="B210" t="inlineStr">
        <is>
          <t>2025-02</t>
        </is>
      </c>
      <c r="C210" t="inlineStr">
        <is>
          <t>CC900</t>
        </is>
      </c>
      <c r="D210" t="inlineStr">
        <is>
          <t>Corporate</t>
        </is>
      </c>
      <c r="E210" t="inlineStr">
        <is>
          <t>8000</t>
        </is>
      </c>
      <c r="F210" t="inlineStr">
        <is>
          <t>Interest expense</t>
        </is>
      </c>
      <c r="G210" t="inlineStr">
        <is>
          <t>other</t>
        </is>
      </c>
      <c r="H210" t="inlineStr">
        <is>
          <t>34635.42</t>
        </is>
      </c>
      <c r="I210" t="inlineStr"/>
    </row>
    <row r="211">
      <c r="A211" t="inlineStr">
        <is>
          <t>JE000210</t>
        </is>
      </c>
      <c r="B211" t="inlineStr">
        <is>
          <t>2025-02</t>
        </is>
      </c>
      <c r="C211" t="inlineStr">
        <is>
          <t>CC900</t>
        </is>
      </c>
      <c r="D211" t="inlineStr">
        <is>
          <t>Corporate</t>
        </is>
      </c>
      <c r="E211" t="inlineStr">
        <is>
          <t>9000</t>
        </is>
      </c>
      <c r="F211" t="inlineStr">
        <is>
          <t>Income tax</t>
        </is>
      </c>
      <c r="G211" t="inlineStr">
        <is>
          <t>other</t>
        </is>
      </c>
      <c r="H211" t="inlineStr">
        <is>
          <t>9713.83</t>
        </is>
      </c>
      <c r="I211" t="inlineStr"/>
    </row>
    <row r="212">
      <c r="A212" t="inlineStr">
        <is>
          <t>JE000211</t>
        </is>
      </c>
      <c r="B212" t="inlineStr">
        <is>
          <t>2025-03</t>
        </is>
      </c>
      <c r="C212" t="inlineStr">
        <is>
          <t>CC900</t>
        </is>
      </c>
      <c r="D212" t="inlineStr">
        <is>
          <t>Corporate</t>
        </is>
      </c>
      <c r="E212" t="inlineStr">
        <is>
          <t>4000</t>
        </is>
      </c>
      <c r="F212" t="inlineStr">
        <is>
          <t>Transaction fees</t>
        </is>
      </c>
      <c r="G212" t="inlineStr">
        <is>
          <t>revenue</t>
        </is>
      </c>
      <c r="H212" t="inlineStr">
        <is>
          <t>-1946332.78</t>
        </is>
      </c>
      <c r="I212" t="inlineStr"/>
    </row>
    <row r="213">
      <c r="A213" t="inlineStr">
        <is>
          <t>JE000212</t>
        </is>
      </c>
      <c r="B213" t="inlineStr">
        <is>
          <t>2025-03</t>
        </is>
      </c>
      <c r="C213" t="inlineStr">
        <is>
          <t>CC900</t>
        </is>
      </c>
      <c r="D213" t="inlineStr">
        <is>
          <t>Corporate</t>
        </is>
      </c>
      <c r="E213" t="inlineStr">
        <is>
          <t>4100</t>
        </is>
      </c>
      <c r="F213" t="inlineStr">
        <is>
          <t>Subscription fees</t>
        </is>
      </c>
      <c r="G213" t="inlineStr">
        <is>
          <t>revenue</t>
        </is>
      </c>
      <c r="H213" t="inlineStr">
        <is>
          <t>-685800.00</t>
        </is>
      </c>
      <c r="I213" t="inlineStr"/>
    </row>
    <row r="214">
      <c r="A214" t="inlineStr">
        <is>
          <t>JE000213</t>
        </is>
      </c>
      <c r="B214" t="inlineStr">
        <is>
          <t>2025-03</t>
        </is>
      </c>
      <c r="C214" t="inlineStr">
        <is>
          <t>CC900</t>
        </is>
      </c>
      <c r="D214" t="inlineStr">
        <is>
          <t>Corporate</t>
        </is>
      </c>
      <c r="E214" t="inlineStr">
        <is>
          <t>4200</t>
        </is>
      </c>
      <c r="F214" t="inlineStr">
        <is>
          <t>FX markup</t>
        </is>
      </c>
      <c r="G214" t="inlineStr">
        <is>
          <t>revenue</t>
        </is>
      </c>
      <c r="H214" t="inlineStr">
        <is>
          <t>-211412.01</t>
        </is>
      </c>
      <c r="I214" t="inlineStr"/>
    </row>
    <row r="215">
      <c r="A215" t="inlineStr">
        <is>
          <t>JE000214</t>
        </is>
      </c>
      <c r="B215" t="inlineStr">
        <is>
          <t>2025-03</t>
        </is>
      </c>
      <c r="C215" t="inlineStr">
        <is>
          <t>CC900</t>
        </is>
      </c>
      <c r="D215" t="inlineStr">
        <is>
          <t>Corporate</t>
        </is>
      </c>
      <c r="E215" t="inlineStr">
        <is>
          <t>5000</t>
        </is>
      </c>
      <c r="F215" t="inlineStr">
        <is>
          <t>Scheme and interchange costs</t>
        </is>
      </c>
      <c r="G215" t="inlineStr">
        <is>
          <t>cogs</t>
        </is>
      </c>
      <c r="H215" t="inlineStr">
        <is>
          <t>1107396.24</t>
        </is>
      </c>
      <c r="I215" t="inlineStr"/>
    </row>
    <row r="216">
      <c r="A216" t="inlineStr">
        <is>
          <t>JE000215</t>
        </is>
      </c>
      <c r="B216" t="inlineStr">
        <is>
          <t>2025-03</t>
        </is>
      </c>
      <c r="C216" t="inlineStr">
        <is>
          <t>CC900</t>
        </is>
      </c>
      <c r="D216" t="inlineStr">
        <is>
          <t>Corporate</t>
        </is>
      </c>
      <c r="E216" t="inlineStr">
        <is>
          <t>5100</t>
        </is>
      </c>
      <c r="F216" t="inlineStr">
        <is>
          <t>Cloud hosting</t>
        </is>
      </c>
      <c r="G216" t="inlineStr">
        <is>
          <t>cogs</t>
        </is>
      </c>
      <c r="H216" t="inlineStr">
        <is>
          <t>109115.84</t>
        </is>
      </c>
      <c r="I216" t="inlineStr"/>
    </row>
    <row r="217">
      <c r="A217" t="inlineStr">
        <is>
          <t>JE000216</t>
        </is>
      </c>
      <c r="B217" t="inlineStr">
        <is>
          <t>2025-03</t>
        </is>
      </c>
      <c r="C217" t="inlineStr">
        <is>
          <t>CC100</t>
        </is>
      </c>
      <c r="D217" t="inlineStr">
        <is>
          <t>Engineering</t>
        </is>
      </c>
      <c r="E217" t="inlineStr">
        <is>
          <t>6000</t>
        </is>
      </c>
      <c r="F217" t="inlineStr">
        <is>
          <t>Salaries and wages</t>
        </is>
      </c>
      <c r="G217" t="inlineStr">
        <is>
          <t>opex</t>
        </is>
      </c>
      <c r="H217" t="inlineStr">
        <is>
          <t>554600.00</t>
        </is>
      </c>
      <c r="I217" t="inlineStr"/>
    </row>
    <row r="218">
      <c r="A218" t="inlineStr">
        <is>
          <t>JE000217</t>
        </is>
      </c>
      <c r="B218" t="inlineStr">
        <is>
          <t>2025-03</t>
        </is>
      </c>
      <c r="C218" t="inlineStr">
        <is>
          <t>CC200</t>
        </is>
      </c>
      <c r="D218" t="inlineStr">
        <is>
          <t>Sales</t>
        </is>
      </c>
      <c r="E218" t="inlineStr">
        <is>
          <t>6000</t>
        </is>
      </c>
      <c r="F218" t="inlineStr">
        <is>
          <t>Salaries and wages</t>
        </is>
      </c>
      <c r="G218" t="inlineStr">
        <is>
          <t>opex</t>
        </is>
      </c>
      <c r="H218" t="inlineStr">
        <is>
          <t>169200.00</t>
        </is>
      </c>
      <c r="I218" t="inlineStr"/>
    </row>
    <row r="219">
      <c r="A219" t="inlineStr">
        <is>
          <t>JE000218</t>
        </is>
      </c>
      <c r="B219" t="inlineStr">
        <is>
          <t>2025-03</t>
        </is>
      </c>
      <c r="C219" t="inlineStr">
        <is>
          <t>CC300</t>
        </is>
      </c>
      <c r="D219" t="inlineStr">
        <is>
          <t>Marketing</t>
        </is>
      </c>
      <c r="E219" t="inlineStr">
        <is>
          <t>6000</t>
        </is>
      </c>
      <c r="F219" t="inlineStr">
        <is>
          <t>Salaries and wages</t>
        </is>
      </c>
      <c r="G219" t="inlineStr">
        <is>
          <t>opex</t>
        </is>
      </c>
      <c r="H219" t="inlineStr">
        <is>
          <t>71200.00</t>
        </is>
      </c>
      <c r="I219" t="inlineStr"/>
    </row>
    <row r="220">
      <c r="A220" t="inlineStr">
        <is>
          <t>JE000219</t>
        </is>
      </c>
      <c r="B220" t="inlineStr">
        <is>
          <t>2025-03</t>
        </is>
      </c>
      <c r="C220" t="inlineStr">
        <is>
          <t>CC400</t>
        </is>
      </c>
      <c r="D220" t="inlineStr">
        <is>
          <t>Customer support</t>
        </is>
      </c>
      <c r="E220" t="inlineStr">
        <is>
          <t>6000</t>
        </is>
      </c>
      <c r="F220" t="inlineStr">
        <is>
          <t>Salaries and wages</t>
        </is>
      </c>
      <c r="G220" t="inlineStr">
        <is>
          <t>opex</t>
        </is>
      </c>
      <c r="H220" t="inlineStr">
        <is>
          <t>117600.00</t>
        </is>
      </c>
      <c r="I220" t="inlineStr"/>
    </row>
    <row r="221">
      <c r="A221" t="inlineStr">
        <is>
          <t>JE000220</t>
        </is>
      </c>
      <c r="B221" t="inlineStr">
        <is>
          <t>2025-03</t>
        </is>
      </c>
      <c r="C221" t="inlineStr">
        <is>
          <t>CC500</t>
        </is>
      </c>
      <c r="D221" t="inlineStr">
        <is>
          <t>General and administrative</t>
        </is>
      </c>
      <c r="E221" t="inlineStr">
        <is>
          <t>6000</t>
        </is>
      </c>
      <c r="F221" t="inlineStr">
        <is>
          <t>Salaries and wages</t>
        </is>
      </c>
      <c r="G221" t="inlineStr">
        <is>
          <t>opex</t>
        </is>
      </c>
      <c r="H221" t="inlineStr">
        <is>
          <t>109200.00</t>
        </is>
      </c>
      <c r="I221" t="inlineStr"/>
    </row>
    <row r="222">
      <c r="A222" t="inlineStr">
        <is>
          <t>JE000221</t>
        </is>
      </c>
      <c r="B222" t="inlineStr">
        <is>
          <t>2025-03</t>
        </is>
      </c>
      <c r="C222" t="inlineStr">
        <is>
          <t>CC300</t>
        </is>
      </c>
      <c r="D222" t="inlineStr">
        <is>
          <t>Marketing</t>
        </is>
      </c>
      <c r="E222" t="inlineStr">
        <is>
          <t>6100</t>
        </is>
      </c>
      <c r="F222" t="inlineStr">
        <is>
          <t>Marketing programmes</t>
        </is>
      </c>
      <c r="G222" t="inlineStr">
        <is>
          <t>opex</t>
        </is>
      </c>
      <c r="H222" t="inlineStr">
        <is>
          <t>180,000.00</t>
        </is>
      </c>
      <c r="I222" t="inlineStr"/>
    </row>
    <row r="223">
      <c r="A223" t="inlineStr">
        <is>
          <t>JE000222</t>
        </is>
      </c>
      <c r="B223" t="inlineStr">
        <is>
          <t>2025-03</t>
        </is>
      </c>
      <c r="C223" t="inlineStr">
        <is>
          <t>CC500</t>
        </is>
      </c>
      <c r="D223" t="inlineStr">
        <is>
          <t>General and administrative</t>
        </is>
      </c>
      <c r="E223" t="inlineStr">
        <is>
          <t>6200</t>
        </is>
      </c>
      <c r="F223" t="inlineStr">
        <is>
          <t>Facilities and administration</t>
        </is>
      </c>
      <c r="G223" t="inlineStr">
        <is>
          <t>opex</t>
        </is>
      </c>
      <c r="H223" t="inlineStr">
        <is>
          <t>156880.00</t>
        </is>
      </c>
      <c r="I223" t="inlineStr"/>
    </row>
    <row r="224">
      <c r="A224" t="inlineStr">
        <is>
          <t>JE000223</t>
        </is>
      </c>
      <c r="B224" t="inlineStr">
        <is>
          <t>2025-03</t>
        </is>
      </c>
      <c r="C224" t="inlineStr">
        <is>
          <t>CC900</t>
        </is>
      </c>
      <c r="D224" t="inlineStr">
        <is>
          <t>Corporate</t>
        </is>
      </c>
      <c r="E224" t="inlineStr">
        <is>
          <t>7000</t>
        </is>
      </c>
      <c r="F224" t="inlineStr">
        <is>
          <t>Depreciation</t>
        </is>
      </c>
      <c r="G224" t="inlineStr">
        <is>
          <t>other</t>
        </is>
      </c>
      <c r="H224" t="inlineStr">
        <is>
          <t>86201.83</t>
        </is>
      </c>
      <c r="I224" t="inlineStr"/>
    </row>
    <row r="225">
      <c r="A225" t="inlineStr">
        <is>
          <t>JE000224</t>
        </is>
      </c>
      <c r="B225" t="inlineStr">
        <is>
          <t>2025-03</t>
        </is>
      </c>
      <c r="C225" t="inlineStr">
        <is>
          <t>CC900</t>
        </is>
      </c>
      <c r="D225" t="inlineStr">
        <is>
          <t>Corporate</t>
        </is>
      </c>
      <c r="E225" t="inlineStr">
        <is>
          <t>8000</t>
        </is>
      </c>
      <c r="F225" t="inlineStr">
        <is>
          <t>Interest expense</t>
        </is>
      </c>
      <c r="G225" t="inlineStr">
        <is>
          <t>other</t>
        </is>
      </c>
      <c r="H225" t="inlineStr">
        <is>
          <t>33645.83</t>
        </is>
      </c>
      <c r="I225" t="inlineStr"/>
    </row>
    <row r="226">
      <c r="A226" t="inlineStr">
        <is>
          <t>JE000225</t>
        </is>
      </c>
      <c r="B226" t="inlineStr">
        <is>
          <t>2025-03</t>
        </is>
      </c>
      <c r="C226" t="inlineStr">
        <is>
          <t>CC900</t>
        </is>
      </c>
      <c r="D226" t="inlineStr">
        <is>
          <t>Corporate</t>
        </is>
      </c>
      <c r="E226" t="inlineStr">
        <is>
          <t>9000</t>
        </is>
      </c>
      <c r="F226" t="inlineStr">
        <is>
          <t>Income tax</t>
        </is>
      </c>
      <c r="G226" t="inlineStr">
        <is>
          <t>other</t>
        </is>
      </c>
      <c r="H226" t="inlineStr">
        <is>
          <t>31186.06</t>
        </is>
      </c>
      <c r="I226" t="inlineStr"/>
    </row>
    <row r="227">
      <c r="A227" t="inlineStr">
        <is>
          <t>JE000226</t>
        </is>
      </c>
      <c r="B227" t="inlineStr">
        <is>
          <t>2025-04</t>
        </is>
      </c>
      <c r="C227" t="inlineStr">
        <is>
          <t>CC900</t>
        </is>
      </c>
      <c r="D227" t="inlineStr">
        <is>
          <t>Corporate</t>
        </is>
      </c>
      <c r="E227" t="inlineStr">
        <is>
          <t>4000</t>
        </is>
      </c>
      <c r="F227" t="inlineStr">
        <is>
          <t>Transaction fees</t>
        </is>
      </c>
      <c r="G227" t="inlineStr">
        <is>
          <t>revenue</t>
        </is>
      </c>
      <c r="H227" t="inlineStr">
        <is>
          <t>-1962594.55</t>
        </is>
      </c>
      <c r="I227" t="inlineStr"/>
    </row>
    <row r="228">
      <c r="A228" t="inlineStr">
        <is>
          <t>JE000227</t>
        </is>
      </c>
      <c r="B228" t="inlineStr">
        <is>
          <t>2025-04</t>
        </is>
      </c>
      <c r="C228" t="inlineStr">
        <is>
          <t>CC900</t>
        </is>
      </c>
      <c r="D228" t="inlineStr">
        <is>
          <t>Corporate</t>
        </is>
      </c>
      <c r="E228" t="inlineStr">
        <is>
          <t>4100</t>
        </is>
      </c>
      <c r="F228" t="inlineStr">
        <is>
          <t>Subscription fees</t>
        </is>
      </c>
      <c r="G228" t="inlineStr">
        <is>
          <t>revenue</t>
        </is>
      </c>
      <c r="H228" t="inlineStr">
        <is>
          <t>(700,200.00)</t>
        </is>
      </c>
      <c r="I228" t="inlineStr"/>
    </row>
    <row r="229">
      <c r="A229" t="inlineStr">
        <is>
          <t>JE000228</t>
        </is>
      </c>
      <c r="B229" t="inlineStr">
        <is>
          <t>2025-04</t>
        </is>
      </c>
      <c r="C229" t="inlineStr">
        <is>
          <t>CC900</t>
        </is>
      </c>
      <c r="D229" t="inlineStr">
        <is>
          <t>Corporate</t>
        </is>
      </c>
      <c r="E229" t="inlineStr">
        <is>
          <t>4200</t>
        </is>
      </c>
      <c r="F229" t="inlineStr">
        <is>
          <t>FX markup</t>
        </is>
      </c>
      <c r="G229" t="inlineStr">
        <is>
          <t>revenue</t>
        </is>
      </c>
      <c r="H229" t="inlineStr">
        <is>
          <t>-213178.37</t>
        </is>
      </c>
      <c r="I229" t="inlineStr"/>
    </row>
    <row r="230">
      <c r="A230" t="inlineStr">
        <is>
          <t>JE000229</t>
        </is>
      </c>
      <c r="B230" t="inlineStr">
        <is>
          <t>2025-04</t>
        </is>
      </c>
      <c r="C230" t="inlineStr">
        <is>
          <t>CC900</t>
        </is>
      </c>
      <c r="D230" t="inlineStr">
        <is>
          <t>Corporate</t>
        </is>
      </c>
      <c r="E230" t="inlineStr">
        <is>
          <t>5000</t>
        </is>
      </c>
      <c r="F230" t="inlineStr">
        <is>
          <t>Scheme and interchange costs</t>
        </is>
      </c>
      <c r="G230" t="inlineStr">
        <is>
          <t>cogs</t>
        </is>
      </c>
      <c r="H230" t="inlineStr">
        <is>
          <t>1116648.62</t>
        </is>
      </c>
      <c r="I230" t="inlineStr"/>
    </row>
    <row r="231">
      <c r="A231" t="inlineStr">
        <is>
          <t>JE000230</t>
        </is>
      </c>
      <c r="B231" t="inlineStr">
        <is>
          <t>2025-04</t>
        </is>
      </c>
      <c r="C231" t="inlineStr">
        <is>
          <t>CC900</t>
        </is>
      </c>
      <c r="D231" t="inlineStr">
        <is>
          <t>Corporate</t>
        </is>
      </c>
      <c r="E231" t="inlineStr">
        <is>
          <t>5100</t>
        </is>
      </c>
      <c r="F231" t="inlineStr">
        <is>
          <t>Cloud hosting</t>
        </is>
      </c>
      <c r="G231" t="inlineStr">
        <is>
          <t>cogs</t>
        </is>
      </c>
      <c r="H231" t="inlineStr">
        <is>
          <t>111079.93</t>
        </is>
      </c>
      <c r="I231" t="inlineStr"/>
    </row>
    <row r="232">
      <c r="A232" t="inlineStr">
        <is>
          <t>JE000231</t>
        </is>
      </c>
      <c r="B232" t="inlineStr">
        <is>
          <t>2025-04</t>
        </is>
      </c>
      <c r="C232" t="inlineStr">
        <is>
          <t>CC100</t>
        </is>
      </c>
      <c r="D232" t="inlineStr">
        <is>
          <t>Engineering</t>
        </is>
      </c>
      <c r="E232" t="inlineStr">
        <is>
          <t>6000</t>
        </is>
      </c>
      <c r="F232" t="inlineStr">
        <is>
          <t>Salaries and wages</t>
        </is>
      </c>
      <c r="G232" t="inlineStr">
        <is>
          <t>opex</t>
        </is>
      </c>
      <c r="H232" t="inlineStr">
        <is>
          <t>554600.00</t>
        </is>
      </c>
      <c r="I232" t="inlineStr"/>
    </row>
    <row r="233">
      <c r="A233" t="inlineStr">
        <is>
          <t>JE000232</t>
        </is>
      </c>
      <c r="B233" t="inlineStr">
        <is>
          <t>2025-04</t>
        </is>
      </c>
      <c r="C233" t="inlineStr">
        <is>
          <t>CC200</t>
        </is>
      </c>
      <c r="D233" t="inlineStr">
        <is>
          <t>Sales</t>
        </is>
      </c>
      <c r="E233" t="inlineStr">
        <is>
          <t>6000</t>
        </is>
      </c>
      <c r="F233" t="inlineStr">
        <is>
          <t>Salaries and wages</t>
        </is>
      </c>
      <c r="G233" t="inlineStr">
        <is>
          <t>opex</t>
        </is>
      </c>
      <c r="H233" t="inlineStr">
        <is>
          <t>169200.00</t>
        </is>
      </c>
      <c r="I233" t="inlineStr"/>
    </row>
    <row r="234">
      <c r="A234" t="inlineStr">
        <is>
          <t>JE000233</t>
        </is>
      </c>
      <c r="B234" t="inlineStr">
        <is>
          <t>2025-04</t>
        </is>
      </c>
      <c r="C234" t="inlineStr">
        <is>
          <t>CC300</t>
        </is>
      </c>
      <c r="D234" t="inlineStr">
        <is>
          <t>Marketing</t>
        </is>
      </c>
      <c r="E234" t="inlineStr">
        <is>
          <t>6000</t>
        </is>
      </c>
      <c r="F234" t="inlineStr">
        <is>
          <t>Salaries and wages</t>
        </is>
      </c>
      <c r="G234" t="inlineStr">
        <is>
          <t>opex</t>
        </is>
      </c>
      <c r="H234" t="inlineStr">
        <is>
          <t>71200.00</t>
        </is>
      </c>
      <c r="I234" t="inlineStr"/>
    </row>
    <row r="235">
      <c r="A235" t="inlineStr">
        <is>
          <t>JE000234</t>
        </is>
      </c>
      <c r="B235" t="inlineStr">
        <is>
          <t>2025-04</t>
        </is>
      </c>
      <c r="C235" t="inlineStr">
        <is>
          <t>CC400</t>
        </is>
      </c>
      <c r="D235" t="inlineStr">
        <is>
          <t>Customer support</t>
        </is>
      </c>
      <c r="E235" t="inlineStr">
        <is>
          <t>6000</t>
        </is>
      </c>
      <c r="F235" t="inlineStr">
        <is>
          <t>Salaries and wages</t>
        </is>
      </c>
      <c r="G235" t="inlineStr">
        <is>
          <t>opex</t>
        </is>
      </c>
      <c r="H235" t="inlineStr">
        <is>
          <t>123200.00</t>
        </is>
      </c>
      <c r="I235" t="inlineStr"/>
    </row>
    <row r="236">
      <c r="A236" t="inlineStr">
        <is>
          <t>JE000235</t>
        </is>
      </c>
      <c r="B236" t="inlineStr">
        <is>
          <t>2025-04</t>
        </is>
      </c>
      <c r="C236" t="inlineStr">
        <is>
          <t>CC500</t>
        </is>
      </c>
      <c r="D236" t="inlineStr">
        <is>
          <t>General and administrative</t>
        </is>
      </c>
      <c r="E236" t="inlineStr">
        <is>
          <t>6000</t>
        </is>
      </c>
      <c r="F236" t="inlineStr">
        <is>
          <t>Salaries and wages</t>
        </is>
      </c>
      <c r="G236" t="inlineStr">
        <is>
          <t>opex</t>
        </is>
      </c>
      <c r="H236" t="inlineStr">
        <is>
          <t>109200.00</t>
        </is>
      </c>
      <c r="I236" t="inlineStr"/>
    </row>
    <row r="237">
      <c r="A237" t="inlineStr">
        <is>
          <t>JE000236</t>
        </is>
      </c>
      <c r="B237" t="inlineStr">
        <is>
          <t>2025-04</t>
        </is>
      </c>
      <c r="C237" t="inlineStr">
        <is>
          <t>CC300</t>
        </is>
      </c>
      <c r="D237" t="inlineStr">
        <is>
          <t>Marketing</t>
        </is>
      </c>
      <c r="E237" t="inlineStr">
        <is>
          <t>6100</t>
        </is>
      </c>
      <c r="F237" t="inlineStr">
        <is>
          <t>Marketing programmes</t>
        </is>
      </c>
      <c r="G237" t="inlineStr">
        <is>
          <t>opex</t>
        </is>
      </c>
      <c r="H237" t="inlineStr">
        <is>
          <t>180000.00</t>
        </is>
      </c>
      <c r="I237" t="inlineStr"/>
    </row>
    <row r="238">
      <c r="A238" t="inlineStr">
        <is>
          <t>JE000237</t>
        </is>
      </c>
      <c r="B238" t="inlineStr">
        <is>
          <t>2025-04</t>
        </is>
      </c>
      <c r="C238" t="inlineStr">
        <is>
          <t>CC500</t>
        </is>
      </c>
      <c r="D238" t="inlineStr">
        <is>
          <t>General and administrative</t>
        </is>
      </c>
      <c r="E238" t="inlineStr">
        <is>
          <t>6200</t>
        </is>
      </c>
      <c r="F238" t="inlineStr">
        <is>
          <t>Facilities and administration</t>
        </is>
      </c>
      <c r="G238" t="inlineStr">
        <is>
          <t>opex</t>
        </is>
      </c>
      <c r="H238" t="inlineStr">
        <is>
          <t>156880.00</t>
        </is>
      </c>
      <c r="I238" t="inlineStr"/>
    </row>
    <row r="239">
      <c r="A239" t="inlineStr">
        <is>
          <t>JE000238</t>
        </is>
      </c>
      <c r="B239" t="inlineStr">
        <is>
          <t>2025-04</t>
        </is>
      </c>
      <c r="C239" t="inlineStr">
        <is>
          <t>CC900</t>
        </is>
      </c>
      <c r="D239" t="inlineStr">
        <is>
          <t>Corporate</t>
        </is>
      </c>
      <c r="E239" t="inlineStr">
        <is>
          <t>7000</t>
        </is>
      </c>
      <c r="F239" t="inlineStr">
        <is>
          <t>Depreciation</t>
        </is>
      </c>
      <c r="G239" t="inlineStr">
        <is>
          <t>other</t>
        </is>
      </c>
      <c r="H239" t="inlineStr">
        <is>
          <t>86996.09</t>
        </is>
      </c>
      <c r="I239" t="inlineStr"/>
    </row>
    <row r="240">
      <c r="A240" t="inlineStr">
        <is>
          <t>JE000239</t>
        </is>
      </c>
      <c r="B240" t="inlineStr">
        <is>
          <t>2025-04</t>
        </is>
      </c>
      <c r="C240" t="inlineStr">
        <is>
          <t>CC900</t>
        </is>
      </c>
      <c r="D240" t="inlineStr">
        <is>
          <t>Corporate</t>
        </is>
      </c>
      <c r="E240" t="inlineStr">
        <is>
          <t>8000</t>
        </is>
      </c>
      <c r="F240" t="inlineStr">
        <is>
          <t>Interest expense</t>
        </is>
      </c>
      <c r="G240" t="inlineStr">
        <is>
          <t>other</t>
        </is>
      </c>
      <c r="H240" t="inlineStr">
        <is>
          <t>32656.25</t>
        </is>
      </c>
      <c r="I240" t="inlineStr"/>
    </row>
    <row r="241">
      <c r="A241" t="inlineStr">
        <is>
          <t>JE000240</t>
        </is>
      </c>
      <c r="B241" t="inlineStr">
        <is>
          <t>2025-04</t>
        </is>
      </c>
      <c r="C241" t="inlineStr">
        <is>
          <t>CC900</t>
        </is>
      </c>
      <c r="D241" t="inlineStr">
        <is>
          <t>Corporate</t>
        </is>
      </c>
      <c r="E241" t="inlineStr">
        <is>
          <t>9000</t>
        </is>
      </c>
      <c r="F241" t="inlineStr">
        <is>
          <t>Income tax</t>
        </is>
      </c>
      <c r="G241" t="inlineStr">
        <is>
          <t>other</t>
        </is>
      </c>
      <c r="H241" t="inlineStr">
        <is>
          <t>34505.53</t>
        </is>
      </c>
      <c r="I241" t="inlineStr"/>
    </row>
    <row r="242">
      <c r="A242" t="inlineStr">
        <is>
          <t>JE000241</t>
        </is>
      </c>
      <c r="B242" t="inlineStr">
        <is>
          <t>2025-05</t>
        </is>
      </c>
      <c r="C242" t="inlineStr">
        <is>
          <t>CC900</t>
        </is>
      </c>
      <c r="D242" t="inlineStr">
        <is>
          <t>Corporate</t>
        </is>
      </c>
      <c r="E242" t="inlineStr">
        <is>
          <t>4000</t>
        </is>
      </c>
      <c r="F242" t="inlineStr">
        <is>
          <t>Transaction fees</t>
        </is>
      </c>
      <c r="G242" t="inlineStr">
        <is>
          <t>revenue</t>
        </is>
      </c>
      <c r="H242" t="inlineStr">
        <is>
          <t>-2048915.06</t>
        </is>
      </c>
      <c r="I242" t="inlineStr"/>
    </row>
    <row r="243">
      <c r="A243" t="inlineStr">
        <is>
          <t>JE000242</t>
        </is>
      </c>
      <c r="B243" t="inlineStr">
        <is>
          <t>2025-05</t>
        </is>
      </c>
      <c r="C243" t="inlineStr">
        <is>
          <t>CC900</t>
        </is>
      </c>
      <c r="D243" t="inlineStr">
        <is>
          <t>Corporate</t>
        </is>
      </c>
      <c r="E243" t="inlineStr">
        <is>
          <t>4100</t>
        </is>
      </c>
      <c r="F243" t="inlineStr">
        <is>
          <t>Subscription fees</t>
        </is>
      </c>
      <c r="G243" t="inlineStr">
        <is>
          <t>revenue</t>
        </is>
      </c>
      <c r="H243" t="inlineStr">
        <is>
          <t>-709200.00</t>
        </is>
      </c>
      <c r="I243" t="inlineStr"/>
    </row>
    <row r="244">
      <c r="A244" t="inlineStr">
        <is>
          <t>JE000243</t>
        </is>
      </c>
      <c r="B244" t="inlineStr">
        <is>
          <t>2025-05</t>
        </is>
      </c>
      <c r="C244" t="inlineStr">
        <is>
          <t>CC900</t>
        </is>
      </c>
      <c r="D244" t="inlineStr">
        <is>
          <t>Corporate</t>
        </is>
      </c>
      <c r="E244" t="inlineStr">
        <is>
          <t>4200</t>
        </is>
      </c>
      <c r="F244" t="inlineStr">
        <is>
          <t>FX markup</t>
        </is>
      </c>
      <c r="G244" t="inlineStr">
        <is>
          <t>revenue</t>
        </is>
      </c>
      <c r="H244" t="inlineStr">
        <is>
          <t>-222554.57</t>
        </is>
      </c>
      <c r="I244" t="inlineStr"/>
    </row>
    <row r="245">
      <c r="A245" t="inlineStr">
        <is>
          <t>JE000244</t>
        </is>
      </c>
      <c r="B245" t="inlineStr">
        <is>
          <t>2025-05</t>
        </is>
      </c>
      <c r="C245" t="inlineStr">
        <is>
          <t>CC900</t>
        </is>
      </c>
      <c r="D245" t="inlineStr">
        <is>
          <t>Corporate</t>
        </is>
      </c>
      <c r="E245" t="inlineStr">
        <is>
          <t>5000</t>
        </is>
      </c>
      <c r="F245" t="inlineStr">
        <is>
          <t>Scheme and interchange costs</t>
        </is>
      </c>
      <c r="G245" t="inlineStr">
        <is>
          <t>cogs</t>
        </is>
      </c>
      <c r="H245" t="inlineStr">
        <is>
          <t>1165762.02</t>
        </is>
      </c>
      <c r="I245" t="inlineStr"/>
    </row>
    <row r="246">
      <c r="A246" t="inlineStr">
        <is>
          <t>JE000245</t>
        </is>
      </c>
      <c r="B246" t="inlineStr">
        <is>
          <t>2025-05</t>
        </is>
      </c>
      <c r="C246" t="inlineStr">
        <is>
          <t>CC900</t>
        </is>
      </c>
      <c r="D246" t="inlineStr">
        <is>
          <t>Corporate</t>
        </is>
      </c>
      <c r="E246" t="inlineStr">
        <is>
          <t>5100</t>
        </is>
      </c>
      <c r="F246" t="inlineStr">
        <is>
          <t xml:space="preserve">Cloud hosting </t>
        </is>
      </c>
      <c r="G246" t="inlineStr">
        <is>
          <t>cogs</t>
        </is>
      </c>
      <c r="H246" t="inlineStr">
        <is>
          <t>113079.37</t>
        </is>
      </c>
      <c r="I246" t="inlineStr"/>
    </row>
    <row r="247">
      <c r="A247" t="inlineStr">
        <is>
          <t>JE000246</t>
        </is>
      </c>
      <c r="B247" t="inlineStr">
        <is>
          <t>2025-05</t>
        </is>
      </c>
      <c r="C247" t="inlineStr">
        <is>
          <t>CC100</t>
        </is>
      </c>
      <c r="D247" t="inlineStr">
        <is>
          <t>Engineering</t>
        </is>
      </c>
      <c r="E247" t="inlineStr">
        <is>
          <t>6000</t>
        </is>
      </c>
      <c r="F247" t="inlineStr">
        <is>
          <t>Salaries and wages</t>
        </is>
      </c>
      <c r="G247" t="inlineStr">
        <is>
          <t>opex</t>
        </is>
      </c>
      <c r="H247" t="inlineStr">
        <is>
          <t>554600.00</t>
        </is>
      </c>
      <c r="I247" t="inlineStr"/>
    </row>
    <row r="248">
      <c r="A248" t="inlineStr">
        <is>
          <t>JE000247</t>
        </is>
      </c>
      <c r="B248" t="inlineStr">
        <is>
          <t>2025-05</t>
        </is>
      </c>
      <c r="C248" t="inlineStr">
        <is>
          <t>CC200</t>
        </is>
      </c>
      <c r="D248" t="inlineStr">
        <is>
          <t>Sales</t>
        </is>
      </c>
      <c r="E248" t="inlineStr">
        <is>
          <t>6000</t>
        </is>
      </c>
      <c r="F248" t="inlineStr">
        <is>
          <t>Salaries and wages</t>
        </is>
      </c>
      <c r="G248" t="inlineStr">
        <is>
          <t>opex</t>
        </is>
      </c>
      <c r="H248" t="inlineStr">
        <is>
          <t>169200.00</t>
        </is>
      </c>
      <c r="I248" t="inlineStr"/>
    </row>
    <row r="249">
      <c r="A249" t="inlineStr">
        <is>
          <t>JE000248</t>
        </is>
      </c>
      <c r="B249" t="inlineStr">
        <is>
          <t>2025-05</t>
        </is>
      </c>
      <c r="C249" t="inlineStr">
        <is>
          <t>CC300</t>
        </is>
      </c>
      <c r="D249" t="inlineStr">
        <is>
          <t>Marketing</t>
        </is>
      </c>
      <c r="E249" t="inlineStr">
        <is>
          <t>6000</t>
        </is>
      </c>
      <c r="F249" t="inlineStr">
        <is>
          <t>Salaries and wages</t>
        </is>
      </c>
      <c r="G249" t="inlineStr">
        <is>
          <t>opex</t>
        </is>
      </c>
      <c r="H249" t="inlineStr">
        <is>
          <t>71200.00</t>
        </is>
      </c>
      <c r="I249" t="inlineStr"/>
    </row>
    <row r="250">
      <c r="A250" t="inlineStr">
        <is>
          <t>JE000249</t>
        </is>
      </c>
      <c r="B250" t="inlineStr">
        <is>
          <t>2025-05</t>
        </is>
      </c>
      <c r="C250" t="inlineStr">
        <is>
          <t>CC400</t>
        </is>
      </c>
      <c r="D250" t="inlineStr">
        <is>
          <t>Customer support</t>
        </is>
      </c>
      <c r="E250" t="inlineStr">
        <is>
          <t>6000</t>
        </is>
      </c>
      <c r="F250" t="inlineStr">
        <is>
          <t>Salaries and wages</t>
        </is>
      </c>
      <c r="G250" t="inlineStr">
        <is>
          <t>opex</t>
        </is>
      </c>
      <c r="H250" t="inlineStr">
        <is>
          <t>123200.00</t>
        </is>
      </c>
      <c r="I250" t="inlineStr"/>
    </row>
    <row r="251">
      <c r="A251" t="inlineStr">
        <is>
          <t>JE000250</t>
        </is>
      </c>
      <c r="B251" t="inlineStr">
        <is>
          <t>2025-05</t>
        </is>
      </c>
      <c r="C251" t="inlineStr">
        <is>
          <t>CC500</t>
        </is>
      </c>
      <c r="D251" t="inlineStr">
        <is>
          <t>General and administrative</t>
        </is>
      </c>
      <c r="E251" t="inlineStr">
        <is>
          <t>6000</t>
        </is>
      </c>
      <c r="F251" t="inlineStr">
        <is>
          <t>Salaries and wages</t>
        </is>
      </c>
      <c r="G251" t="inlineStr">
        <is>
          <t>opex</t>
        </is>
      </c>
      <c r="H251" t="inlineStr">
        <is>
          <t>118300.00</t>
        </is>
      </c>
      <c r="I251" t="inlineStr"/>
    </row>
    <row r="252">
      <c r="A252" t="inlineStr">
        <is>
          <t>JE000251</t>
        </is>
      </c>
      <c r="B252" t="inlineStr">
        <is>
          <t>2025-05</t>
        </is>
      </c>
      <c r="C252" t="inlineStr">
        <is>
          <t>CC300</t>
        </is>
      </c>
      <c r="D252" t="inlineStr">
        <is>
          <t>Marketing</t>
        </is>
      </c>
      <c r="E252" t="inlineStr">
        <is>
          <t>6100</t>
        </is>
      </c>
      <c r="F252" t="inlineStr">
        <is>
          <t>Marketing programmes</t>
        </is>
      </c>
      <c r="G252" t="inlineStr">
        <is>
          <t>opex</t>
        </is>
      </c>
      <c r="H252" t="inlineStr">
        <is>
          <t>180000.00</t>
        </is>
      </c>
      <c r="I252" t="inlineStr"/>
    </row>
    <row r="253">
      <c r="A253" t="inlineStr">
        <is>
          <t>JE000252</t>
        </is>
      </c>
      <c r="B253" t="inlineStr">
        <is>
          <t>2025-05</t>
        </is>
      </c>
      <c r="C253" t="inlineStr">
        <is>
          <t>CC500</t>
        </is>
      </c>
      <c r="D253" t="inlineStr">
        <is>
          <t>General and administrative</t>
        </is>
      </c>
      <c r="E253" t="inlineStr">
        <is>
          <t>6200</t>
        </is>
      </c>
      <c r="F253" t="inlineStr">
        <is>
          <t>Facilities and administration</t>
        </is>
      </c>
      <c r="G253" t="inlineStr">
        <is>
          <t>opex</t>
        </is>
      </c>
      <c r="H253" t="inlineStr">
        <is>
          <t>156880.00</t>
        </is>
      </c>
      <c r="I253" t="inlineStr"/>
    </row>
    <row r="254">
      <c r="A254" t="inlineStr">
        <is>
          <t>JE000253</t>
        </is>
      </c>
      <c r="B254" t="inlineStr">
        <is>
          <t>2025-05</t>
        </is>
      </c>
      <c r="C254" t="inlineStr">
        <is>
          <t>CC900</t>
        </is>
      </c>
      <c r="D254" t="inlineStr">
        <is>
          <t>Corporate</t>
        </is>
      </c>
      <c r="E254" t="inlineStr">
        <is>
          <t>7000</t>
        </is>
      </c>
      <c r="F254" t="inlineStr">
        <is>
          <t>Depreciation</t>
        </is>
      </c>
      <c r="G254" t="inlineStr">
        <is>
          <t>other</t>
        </is>
      </c>
      <c r="H254" t="inlineStr">
        <is>
          <t>87771.68</t>
        </is>
      </c>
      <c r="I254" t="inlineStr"/>
    </row>
    <row r="255">
      <c r="A255" t="inlineStr">
        <is>
          <t>JE000254</t>
        </is>
      </c>
      <c r="B255" t="inlineStr">
        <is>
          <t>2025-05</t>
        </is>
      </c>
      <c r="C255" t="inlineStr">
        <is>
          <t>CC900</t>
        </is>
      </c>
      <c r="D255" t="inlineStr">
        <is>
          <t>Corporate</t>
        </is>
      </c>
      <c r="E255" t="inlineStr">
        <is>
          <t>8000</t>
        </is>
      </c>
      <c r="F255" t="inlineStr">
        <is>
          <t>Interest expense</t>
        </is>
      </c>
      <c r="G255" t="inlineStr">
        <is>
          <t>other</t>
        </is>
      </c>
      <c r="H255" t="inlineStr">
        <is>
          <t>31666.67</t>
        </is>
      </c>
      <c r="I255" t="inlineStr"/>
    </row>
    <row r="256">
      <c r="A256" t="inlineStr">
        <is>
          <t>JE000255</t>
        </is>
      </c>
      <c r="B256" t="inlineStr">
        <is>
          <t>2025-05</t>
        </is>
      </c>
      <c r="C256" t="inlineStr">
        <is>
          <t>CC900</t>
        </is>
      </c>
      <c r="D256" t="inlineStr">
        <is>
          <t>Corporate</t>
        </is>
      </c>
      <c r="E256" t="inlineStr">
        <is>
          <t>9000</t>
        </is>
      </c>
      <c r="F256" t="inlineStr">
        <is>
          <t>Income tax</t>
        </is>
      </c>
      <c r="G256" t="inlineStr">
        <is>
          <t>other</t>
        </is>
      </c>
      <c r="H256" t="inlineStr">
        <is>
          <t>43892.08</t>
        </is>
      </c>
      <c r="I256" t="inlineStr"/>
    </row>
    <row r="257">
      <c r="A257" t="inlineStr">
        <is>
          <t>JE000256</t>
        </is>
      </c>
      <c r="B257" t="inlineStr">
        <is>
          <t>2025-06</t>
        </is>
      </c>
      <c r="C257" t="inlineStr">
        <is>
          <t>CC900</t>
        </is>
      </c>
      <c r="D257" t="inlineStr">
        <is>
          <t>Corporate</t>
        </is>
      </c>
      <c r="E257" t="inlineStr">
        <is>
          <t>4000</t>
        </is>
      </c>
      <c r="F257" t="inlineStr">
        <is>
          <t>Transaction fees</t>
        </is>
      </c>
      <c r="G257" t="inlineStr">
        <is>
          <t>revenue</t>
        </is>
      </c>
      <c r="H257" t="inlineStr">
        <is>
          <t>-2070985.84</t>
        </is>
      </c>
      <c r="I257" t="inlineStr"/>
    </row>
    <row r="258">
      <c r="A258" t="inlineStr">
        <is>
          <t>JE000257</t>
        </is>
      </c>
      <c r="B258" t="inlineStr">
        <is>
          <t>2025-06</t>
        </is>
      </c>
      <c r="C258" t="inlineStr">
        <is>
          <t>CC900</t>
        </is>
      </c>
      <c r="D258" t="inlineStr">
        <is>
          <t>Corporate</t>
        </is>
      </c>
      <c r="E258" t="inlineStr">
        <is>
          <t>4100</t>
        </is>
      </c>
      <c r="F258" t="inlineStr">
        <is>
          <t>Subscription fees</t>
        </is>
      </c>
      <c r="G258" t="inlineStr">
        <is>
          <t>revenue</t>
        </is>
      </c>
      <c r="H258" t="inlineStr">
        <is>
          <t>-721800.00</t>
        </is>
      </c>
      <c r="I258" t="inlineStr"/>
    </row>
    <row r="259">
      <c r="A259" t="inlineStr">
        <is>
          <t>JE000258</t>
        </is>
      </c>
      <c r="B259" t="inlineStr">
        <is>
          <t>2025-06</t>
        </is>
      </c>
      <c r="C259" t="inlineStr">
        <is>
          <t>CC900</t>
        </is>
      </c>
      <c r="D259" t="inlineStr">
        <is>
          <t>Corporate</t>
        </is>
      </c>
      <c r="E259" t="inlineStr">
        <is>
          <t>4200</t>
        </is>
      </c>
      <c r="F259" t="inlineStr">
        <is>
          <t>FX markup</t>
        </is>
      </c>
      <c r="G259" t="inlineStr">
        <is>
          <t>revenue</t>
        </is>
      </c>
      <c r="H259" t="inlineStr">
        <is>
          <t>-224951.91</t>
        </is>
      </c>
      <c r="I259" t="inlineStr"/>
    </row>
    <row r="260">
      <c r="A260" t="inlineStr">
        <is>
          <t>JE000259</t>
        </is>
      </c>
      <c r="B260" t="inlineStr">
        <is>
          <t>2025-06</t>
        </is>
      </c>
      <c r="C260" t="inlineStr">
        <is>
          <t>CC900</t>
        </is>
      </c>
      <c r="D260" t="inlineStr">
        <is>
          <t>Corporate</t>
        </is>
      </c>
      <c r="E260" t="inlineStr">
        <is>
          <t>5000</t>
        </is>
      </c>
      <c r="F260" t="inlineStr">
        <is>
          <t>Scheme and interchange costs</t>
        </is>
      </c>
      <c r="G260" t="inlineStr">
        <is>
          <t>cogs</t>
        </is>
      </c>
      <c r="H260" t="inlineStr">
        <is>
          <t>1178319.53</t>
        </is>
      </c>
      <c r="I260" t="inlineStr"/>
    </row>
    <row r="261">
      <c r="A261" t="inlineStr">
        <is>
          <t>JE000260</t>
        </is>
      </c>
      <c r="B261" t="inlineStr">
        <is>
          <t>2025-06</t>
        </is>
      </c>
      <c r="C261" t="inlineStr">
        <is>
          <t>CC900</t>
        </is>
      </c>
      <c r="D261" t="inlineStr">
        <is>
          <t>Corporate</t>
        </is>
      </c>
      <c r="E261" t="inlineStr">
        <is>
          <t>5100</t>
        </is>
      </c>
      <c r="F261" t="inlineStr">
        <is>
          <t>Cloud hosting</t>
        </is>
      </c>
      <c r="G261" t="inlineStr">
        <is>
          <t>cogs</t>
        </is>
      </c>
      <c r="H261" t="inlineStr">
        <is>
          <t>115114.80</t>
        </is>
      </c>
      <c r="I261" t="inlineStr"/>
    </row>
    <row r="262">
      <c r="A262" t="inlineStr">
        <is>
          <t>JE000261</t>
        </is>
      </c>
      <c r="B262" t="inlineStr">
        <is>
          <t>2025-06</t>
        </is>
      </c>
      <c r="C262" t="inlineStr">
        <is>
          <t>CC100</t>
        </is>
      </c>
      <c r="D262" t="inlineStr">
        <is>
          <t>Engineering</t>
        </is>
      </c>
      <c r="E262" t="inlineStr">
        <is>
          <t>6000</t>
        </is>
      </c>
      <c r="F262" t="inlineStr">
        <is>
          <t>Salaries and wages</t>
        </is>
      </c>
      <c r="G262" t="inlineStr">
        <is>
          <t>opex</t>
        </is>
      </c>
      <c r="H262" t="inlineStr">
        <is>
          <t>590000.00</t>
        </is>
      </c>
      <c r="I262" t="inlineStr"/>
    </row>
    <row r="263">
      <c r="A263" t="inlineStr">
        <is>
          <t>JE000261</t>
        </is>
      </c>
      <c r="B263" t="inlineStr">
        <is>
          <t>2025-06</t>
        </is>
      </c>
      <c r="C263" t="inlineStr">
        <is>
          <t>CC100</t>
        </is>
      </c>
      <c r="D263" t="inlineStr">
        <is>
          <t>Engineering</t>
        </is>
      </c>
      <c r="E263" t="inlineStr">
        <is>
          <t>6000</t>
        </is>
      </c>
      <c r="F263" t="inlineStr">
        <is>
          <t>Salaries and wages</t>
        </is>
      </c>
      <c r="G263" t="inlineStr">
        <is>
          <t>opex</t>
        </is>
      </c>
      <c r="H263" t="inlineStr">
        <is>
          <t>590000.00</t>
        </is>
      </c>
      <c r="I263" t="inlineStr"/>
    </row>
    <row r="264">
      <c r="A264" t="inlineStr">
        <is>
          <t>JE000262</t>
        </is>
      </c>
      <c r="B264" t="inlineStr">
        <is>
          <t>2025-06</t>
        </is>
      </c>
      <c r="C264" t="inlineStr">
        <is>
          <t>CC200</t>
        </is>
      </c>
      <c r="D264" t="inlineStr">
        <is>
          <t>Sales</t>
        </is>
      </c>
      <c r="E264" t="inlineStr">
        <is>
          <t>6000</t>
        </is>
      </c>
      <c r="F264" t="inlineStr">
        <is>
          <t>Salaries and wages</t>
        </is>
      </c>
      <c r="G264" t="inlineStr">
        <is>
          <t>opex</t>
        </is>
      </c>
      <c r="H264" t="inlineStr">
        <is>
          <t>169200.00</t>
        </is>
      </c>
      <c r="I264" t="inlineStr"/>
    </row>
    <row r="265">
      <c r="A265" t="inlineStr">
        <is>
          <t>JE000263</t>
        </is>
      </c>
      <c r="B265" t="inlineStr">
        <is>
          <t>2025-06</t>
        </is>
      </c>
      <c r="C265" t="inlineStr">
        <is>
          <t>CC300</t>
        </is>
      </c>
      <c r="D265" t="inlineStr">
        <is>
          <t>Marketing</t>
        </is>
      </c>
      <c r="E265" t="inlineStr">
        <is>
          <t>6000</t>
        </is>
      </c>
      <c r="F265" t="inlineStr">
        <is>
          <t>Salaries and wages</t>
        </is>
      </c>
      <c r="G265" t="inlineStr">
        <is>
          <t>opex</t>
        </is>
      </c>
      <c r="H265" t="inlineStr">
        <is>
          <t>71200.00</t>
        </is>
      </c>
      <c r="I265" t="inlineStr"/>
    </row>
    <row r="266">
      <c r="A266" t="inlineStr">
        <is>
          <t>JE000264</t>
        </is>
      </c>
      <c r="B266" t="inlineStr">
        <is>
          <t>2025-06</t>
        </is>
      </c>
      <c r="C266" t="inlineStr">
        <is>
          <t>CC400</t>
        </is>
      </c>
      <c r="D266" t="inlineStr">
        <is>
          <t>Customer support</t>
        </is>
      </c>
      <c r="E266" t="inlineStr">
        <is>
          <t>6000</t>
        </is>
      </c>
      <c r="F266" t="inlineStr">
        <is>
          <t>Salaries and wages</t>
        </is>
      </c>
      <c r="G266" t="inlineStr">
        <is>
          <t>opex</t>
        </is>
      </c>
      <c r="H266" t="inlineStr">
        <is>
          <t>123200.00</t>
        </is>
      </c>
      <c r="I266" t="inlineStr"/>
    </row>
    <row r="267">
      <c r="A267" t="inlineStr">
        <is>
          <t>JE000265</t>
        </is>
      </c>
      <c r="B267" t="inlineStr">
        <is>
          <t>2025-06</t>
        </is>
      </c>
      <c r="C267" t="inlineStr">
        <is>
          <t>CC500</t>
        </is>
      </c>
      <c r="D267" t="inlineStr">
        <is>
          <t>General and administrative</t>
        </is>
      </c>
      <c r="E267" t="inlineStr">
        <is>
          <t>6000</t>
        </is>
      </c>
      <c r="F267" t="inlineStr">
        <is>
          <t>Salaries and wages</t>
        </is>
      </c>
      <c r="G267" t="inlineStr">
        <is>
          <t>opex</t>
        </is>
      </c>
      <c r="H267" t="inlineStr">
        <is>
          <t>118300.00</t>
        </is>
      </c>
      <c r="I267" t="inlineStr"/>
    </row>
    <row r="268">
      <c r="A268" t="inlineStr">
        <is>
          <t>JE000266</t>
        </is>
      </c>
      <c r="B268" t="inlineStr">
        <is>
          <t>2025-06</t>
        </is>
      </c>
      <c r="C268" t="inlineStr">
        <is>
          <t>CC300</t>
        </is>
      </c>
      <c r="D268" t="inlineStr">
        <is>
          <t>Marketing</t>
        </is>
      </c>
      <c r="E268" t="inlineStr">
        <is>
          <t>6100</t>
        </is>
      </c>
      <c r="F268" t="inlineStr">
        <is>
          <t>Marketing programmes</t>
        </is>
      </c>
      <c r="G268" t="inlineStr">
        <is>
          <t>opex</t>
        </is>
      </c>
      <c r="H268" t="inlineStr">
        <is>
          <t>180000.00</t>
        </is>
      </c>
      <c r="I268" t="inlineStr"/>
    </row>
    <row r="269">
      <c r="A269" t="inlineStr">
        <is>
          <t>JE000267</t>
        </is>
      </c>
      <c r="B269" t="inlineStr">
        <is>
          <t>2025-06</t>
        </is>
      </c>
      <c r="C269" t="inlineStr">
        <is>
          <t>CC500</t>
        </is>
      </c>
      <c r="D269" t="inlineStr">
        <is>
          <t>General and administrative</t>
        </is>
      </c>
      <c r="E269" t="inlineStr">
        <is>
          <t>6200</t>
        </is>
      </c>
      <c r="F269" t="inlineStr">
        <is>
          <t>Facilities and administration</t>
        </is>
      </c>
      <c r="G269" t="inlineStr">
        <is>
          <t>opex</t>
        </is>
      </c>
      <c r="H269" t="inlineStr">
        <is>
          <t>156880.00</t>
        </is>
      </c>
      <c r="I269" t="inlineStr"/>
    </row>
    <row r="270">
      <c r="A270" t="inlineStr">
        <is>
          <t>JE000268</t>
        </is>
      </c>
      <c r="B270" t="inlineStr">
        <is>
          <t>2025-06</t>
        </is>
      </c>
      <c r="C270" t="inlineStr">
        <is>
          <t>CC900</t>
        </is>
      </c>
      <c r="D270" t="inlineStr">
        <is>
          <t>Corporate</t>
        </is>
      </c>
      <c r="E270" t="inlineStr">
        <is>
          <t>7000</t>
        </is>
      </c>
      <c r="F270" t="inlineStr">
        <is>
          <t>Depreciation</t>
        </is>
      </c>
      <c r="G270" t="inlineStr">
        <is>
          <t>other</t>
        </is>
      </c>
      <c r="H270" t="inlineStr">
        <is>
          <t>88529.05</t>
        </is>
      </c>
      <c r="I270" t="inlineStr"/>
    </row>
    <row r="271">
      <c r="A271" t="inlineStr">
        <is>
          <t>JE000269</t>
        </is>
      </c>
      <c r="B271" t="inlineStr">
        <is>
          <t>2025-06</t>
        </is>
      </c>
      <c r="C271" t="inlineStr">
        <is>
          <t>CC900</t>
        </is>
      </c>
      <c r="D271" t="inlineStr">
        <is>
          <t>Corporate</t>
        </is>
      </c>
      <c r="E271" t="inlineStr">
        <is>
          <t>8000</t>
        </is>
      </c>
      <c r="F271" t="inlineStr">
        <is>
          <t>Interest expense</t>
        </is>
      </c>
      <c r="G271" t="inlineStr">
        <is>
          <t>other</t>
        </is>
      </c>
      <c r="H271" t="inlineStr">
        <is>
          <t>30677.08</t>
        </is>
      </c>
      <c r="I271" t="inlineStr"/>
    </row>
    <row r="272">
      <c r="A272" t="inlineStr">
        <is>
          <t>JE000270</t>
        </is>
      </c>
      <c r="B272" t="inlineStr">
        <is>
          <t>2025-06</t>
        </is>
      </c>
      <c r="C272" t="inlineStr">
        <is>
          <t>CC900</t>
        </is>
      </c>
      <c r="D272" t="inlineStr">
        <is>
          <t>Corporate</t>
        </is>
      </c>
      <c r="E272" t="inlineStr">
        <is>
          <t>9000</t>
        </is>
      </c>
      <c r="F272" t="inlineStr">
        <is>
          <t>Income tax</t>
        </is>
      </c>
      <c r="G272" t="inlineStr">
        <is>
          <t>other</t>
        </is>
      </c>
      <c r="H272" t="inlineStr">
        <is>
          <t>41226.63</t>
        </is>
      </c>
      <c r="I272" t="inlineStr"/>
    </row>
    <row r="273">
      <c r="A273" t="inlineStr">
        <is>
          <t>JE000271</t>
        </is>
      </c>
      <c r="B273" t="inlineStr">
        <is>
          <t>2025-07</t>
        </is>
      </c>
      <c r="C273" t="inlineStr">
        <is>
          <t>CC900</t>
        </is>
      </c>
      <c r="D273" t="inlineStr">
        <is>
          <t>Corporate</t>
        </is>
      </c>
      <c r="E273" t="inlineStr">
        <is>
          <t>4000</t>
        </is>
      </c>
      <c r="F273" t="inlineStr">
        <is>
          <t>Transaction fees</t>
        </is>
      </c>
      <c r="G273" t="inlineStr">
        <is>
          <t>revenue</t>
        </is>
      </c>
      <c r="H273" t="inlineStr">
        <is>
          <t>-2093638.23</t>
        </is>
      </c>
      <c r="I273" t="inlineStr"/>
    </row>
    <row r="274">
      <c r="A274" t="inlineStr">
        <is>
          <t>JE000272</t>
        </is>
      </c>
      <c r="B274" t="inlineStr">
        <is>
          <t>2025-07</t>
        </is>
      </c>
      <c r="C274" t="inlineStr">
        <is>
          <t>CC900</t>
        </is>
      </c>
      <c r="D274" t="inlineStr">
        <is>
          <t>Corporate</t>
        </is>
      </c>
      <c r="E274" t="inlineStr">
        <is>
          <t>4100</t>
        </is>
      </c>
      <c r="F274" t="inlineStr">
        <is>
          <t>Subscription fees</t>
        </is>
      </c>
      <c r="G274" t="inlineStr">
        <is>
          <t>revenue</t>
        </is>
      </c>
      <c r="H274" t="inlineStr">
        <is>
          <t>-729000.00</t>
        </is>
      </c>
      <c r="I274" t="inlineStr"/>
    </row>
    <row r="275">
      <c r="A275" t="inlineStr">
        <is>
          <t>JE000273</t>
        </is>
      </c>
      <c r="B275" t="inlineStr">
        <is>
          <t>2025-07</t>
        </is>
      </c>
      <c r="C275" t="inlineStr">
        <is>
          <t>CC900</t>
        </is>
      </c>
      <c r="D275" t="inlineStr">
        <is>
          <t>Corporate</t>
        </is>
      </c>
      <c r="E275" t="inlineStr">
        <is>
          <t>4200</t>
        </is>
      </c>
      <c r="F275" t="inlineStr">
        <is>
          <t>FX markup</t>
        </is>
      </c>
      <c r="G275" t="inlineStr">
        <is>
          <t>revenue</t>
        </is>
      </c>
      <c r="H275" t="inlineStr">
        <is>
          <t>-227412.43</t>
        </is>
      </c>
      <c r="I275" t="inlineStr"/>
    </row>
    <row r="276">
      <c r="A276" t="inlineStr">
        <is>
          <t>JE000274</t>
        </is>
      </c>
      <c r="B276" t="inlineStr">
        <is>
          <t>2025-07</t>
        </is>
      </c>
      <c r="C276" t="inlineStr">
        <is>
          <t>CC900</t>
        </is>
      </c>
      <c r="D276" t="inlineStr">
        <is>
          <t>Corporate</t>
        </is>
      </c>
      <c r="E276" t="inlineStr">
        <is>
          <t>5000</t>
        </is>
      </c>
      <c r="F276" t="inlineStr">
        <is>
          <t>Scheme and interchange costs</t>
        </is>
      </c>
      <c r="G276" t="inlineStr">
        <is>
          <t>cogs</t>
        </is>
      </c>
      <c r="H276" t="inlineStr">
        <is>
          <t>1191207.96</t>
        </is>
      </c>
      <c r="I276" t="inlineStr"/>
    </row>
    <row r="277">
      <c r="A277" t="inlineStr">
        <is>
          <t>JE000275</t>
        </is>
      </c>
      <c r="B277" t="inlineStr">
        <is>
          <t>2025-07</t>
        </is>
      </c>
      <c r="C277" t="inlineStr">
        <is>
          <t>CC900</t>
        </is>
      </c>
      <c r="D277" t="inlineStr">
        <is>
          <t>Corporate</t>
        </is>
      </c>
      <c r="E277" t="inlineStr">
        <is>
          <t>5100</t>
        </is>
      </c>
      <c r="F277" t="inlineStr">
        <is>
          <t>Cloud hosting</t>
        </is>
      </c>
      <c r="G277" t="inlineStr">
        <is>
          <t>cogs</t>
        </is>
      </c>
      <c r="H277" t="inlineStr">
        <is>
          <t>29186.86</t>
        </is>
      </c>
      <c r="I277" t="inlineStr"/>
    </row>
    <row r="278">
      <c r="A278" t="inlineStr">
        <is>
          <t>JE000276</t>
        </is>
      </c>
      <c r="B278" t="inlineStr">
        <is>
          <t>2025-07</t>
        </is>
      </c>
      <c r="C278" t="inlineStr">
        <is>
          <t>CC500</t>
        </is>
      </c>
      <c r="D278" t="inlineStr">
        <is>
          <t>General and administrative</t>
        </is>
      </c>
      <c r="E278" t="inlineStr">
        <is>
          <t>6200</t>
        </is>
      </c>
      <c r="F278" t="inlineStr">
        <is>
          <t>Facilities and administration</t>
        </is>
      </c>
      <c r="G278" t="inlineStr">
        <is>
          <t>opex</t>
        </is>
      </c>
      <c r="H278" t="inlineStr">
        <is>
          <t>88000.00</t>
        </is>
      </c>
      <c r="I278" t="inlineStr">
        <is>
          <t>cloud invoice, coded in error</t>
        </is>
      </c>
    </row>
    <row r="279">
      <c r="A279" t="inlineStr">
        <is>
          <t>JE000277</t>
        </is>
      </c>
      <c r="B279" t="inlineStr">
        <is>
          <t>2025-07</t>
        </is>
      </c>
      <c r="C279" t="inlineStr">
        <is>
          <t>CC100</t>
        </is>
      </c>
      <c r="D279" t="inlineStr">
        <is>
          <t>Engineering</t>
        </is>
      </c>
      <c r="E279" t="inlineStr">
        <is>
          <t>6000</t>
        </is>
      </c>
      <c r="F279" t="inlineStr">
        <is>
          <t>Salaries and wages</t>
        </is>
      </c>
      <c r="G279" t="inlineStr">
        <is>
          <t>opex</t>
        </is>
      </c>
      <c r="H279" t="inlineStr">
        <is>
          <t>590000.00</t>
        </is>
      </c>
      <c r="I279" t="inlineStr"/>
    </row>
    <row r="280">
      <c r="A280" t="inlineStr">
        <is>
          <t>JE000278</t>
        </is>
      </c>
      <c r="B280" t="inlineStr">
        <is>
          <t>2025-07</t>
        </is>
      </c>
      <c r="C280" t="inlineStr">
        <is>
          <t>CC200</t>
        </is>
      </c>
      <c r="D280" t="inlineStr">
        <is>
          <t>Sales</t>
        </is>
      </c>
      <c r="E280" t="inlineStr">
        <is>
          <t>6000</t>
        </is>
      </c>
      <c r="F280" t="inlineStr">
        <is>
          <t>Salaries and wages</t>
        </is>
      </c>
      <c r="G280" t="inlineStr">
        <is>
          <t>opex</t>
        </is>
      </c>
      <c r="H280" t="inlineStr">
        <is>
          <t>188000.00</t>
        </is>
      </c>
      <c r="I280" t="inlineStr"/>
    </row>
    <row r="281">
      <c r="A281" t="inlineStr">
        <is>
          <t>JE000279</t>
        </is>
      </c>
      <c r="B281" t="inlineStr">
        <is>
          <t>2025-07</t>
        </is>
      </c>
      <c r="C281" t="inlineStr">
        <is>
          <t>CC300</t>
        </is>
      </c>
      <c r="D281" t="inlineStr">
        <is>
          <t>Marketing</t>
        </is>
      </c>
      <c r="E281" t="inlineStr">
        <is>
          <t>6000</t>
        </is>
      </c>
      <c r="F281" t="inlineStr">
        <is>
          <t>Salaries and wages</t>
        </is>
      </c>
      <c r="G281" t="inlineStr">
        <is>
          <t>opex</t>
        </is>
      </c>
      <c r="H281" t="inlineStr">
        <is>
          <t>71200.00</t>
        </is>
      </c>
      <c r="I281" t="inlineStr"/>
    </row>
    <row r="282">
      <c r="A282" t="inlineStr">
        <is>
          <t>JE000280</t>
        </is>
      </c>
      <c r="B282" t="inlineStr">
        <is>
          <t>2025-07</t>
        </is>
      </c>
      <c r="C282" t="inlineStr">
        <is>
          <t>CC400</t>
        </is>
      </c>
      <c r="D282" t="inlineStr">
        <is>
          <t>Customer support</t>
        </is>
      </c>
      <c r="E282" t="inlineStr">
        <is>
          <t>6000</t>
        </is>
      </c>
      <c r="F282" t="inlineStr">
        <is>
          <t>Salaries and wages</t>
        </is>
      </c>
      <c r="G282" t="inlineStr">
        <is>
          <t>opex</t>
        </is>
      </c>
      <c r="H282" t="inlineStr">
        <is>
          <t>123200.00</t>
        </is>
      </c>
      <c r="I282" t="inlineStr"/>
    </row>
    <row r="283">
      <c r="A283" t="inlineStr">
        <is>
          <t>JE000281</t>
        </is>
      </c>
      <c r="B283" t="inlineStr">
        <is>
          <t>2025-07</t>
        </is>
      </c>
      <c r="C283" t="inlineStr">
        <is>
          <t>CC500</t>
        </is>
      </c>
      <c r="D283" t="inlineStr">
        <is>
          <t>General and administrative</t>
        </is>
      </c>
      <c r="E283" t="inlineStr">
        <is>
          <t>6000</t>
        </is>
      </c>
      <c r="F283" t="inlineStr">
        <is>
          <t>Salaries and wages</t>
        </is>
      </c>
      <c r="G283" t="inlineStr">
        <is>
          <t>opex</t>
        </is>
      </c>
      <c r="H283" t="inlineStr">
        <is>
          <t>118300.00</t>
        </is>
      </c>
      <c r="I283" t="inlineStr"/>
    </row>
    <row r="284">
      <c r="A284" t="inlineStr">
        <is>
          <t>JE000282</t>
        </is>
      </c>
      <c r="B284" t="inlineStr">
        <is>
          <t>2025-07</t>
        </is>
      </c>
      <c r="C284" t="inlineStr">
        <is>
          <t>CC300</t>
        </is>
      </c>
      <c r="D284" t="inlineStr">
        <is>
          <t>Marketing</t>
        </is>
      </c>
      <c r="E284" t="inlineStr">
        <is>
          <t>6100</t>
        </is>
      </c>
      <c r="F284" t="inlineStr">
        <is>
          <t>Marketing programmes</t>
        </is>
      </c>
      <c r="G284" t="inlineStr">
        <is>
          <t>opex</t>
        </is>
      </c>
      <c r="H284" t="inlineStr">
        <is>
          <t>180000.00</t>
        </is>
      </c>
      <c r="I284" t="inlineStr"/>
    </row>
    <row r="285">
      <c r="A285" t="inlineStr">
        <is>
          <t>JE000283</t>
        </is>
      </c>
      <c r="B285" t="inlineStr">
        <is>
          <t>2025-07</t>
        </is>
      </c>
      <c r="C285" t="inlineStr">
        <is>
          <t>CC500</t>
        </is>
      </c>
      <c r="D285" t="inlineStr">
        <is>
          <t>General and administrative</t>
        </is>
      </c>
      <c r="E285" t="inlineStr">
        <is>
          <t>6200</t>
        </is>
      </c>
      <c r="F285" t="inlineStr">
        <is>
          <t>Facilities and administration</t>
        </is>
      </c>
      <c r="G285" t="inlineStr">
        <is>
          <t>opex</t>
        </is>
      </c>
      <c r="H285" t="inlineStr">
        <is>
          <t>156880.00</t>
        </is>
      </c>
      <c r="I285" t="inlineStr"/>
    </row>
    <row r="286">
      <c r="A286" t="inlineStr">
        <is>
          <t>JE000284</t>
        </is>
      </c>
      <c r="B286" t="inlineStr">
        <is>
          <t>2025-07</t>
        </is>
      </c>
      <c r="C286" t="inlineStr">
        <is>
          <t>CC900</t>
        </is>
      </c>
      <c r="D286" t="inlineStr">
        <is>
          <t>Corporate</t>
        </is>
      </c>
      <c r="E286" t="inlineStr">
        <is>
          <t>7000</t>
        </is>
      </c>
      <c r="F286" t="inlineStr">
        <is>
          <t>Depreciation</t>
        </is>
      </c>
      <c r="G286" t="inlineStr">
        <is>
          <t>other</t>
        </is>
      </c>
      <c r="H286" t="inlineStr">
        <is>
          <t>89268.61</t>
        </is>
      </c>
      <c r="I286" t="inlineStr"/>
    </row>
    <row r="287">
      <c r="A287" t="inlineStr">
        <is>
          <t>JE000285</t>
        </is>
      </c>
      <c r="B287" t="inlineStr">
        <is>
          <t>2025-07</t>
        </is>
      </c>
      <c r="C287" t="inlineStr">
        <is>
          <t>CC900</t>
        </is>
      </c>
      <c r="D287" t="inlineStr">
        <is>
          <t>Corporate</t>
        </is>
      </c>
      <c r="E287" t="inlineStr">
        <is>
          <t>8000</t>
        </is>
      </c>
      <c r="F287" t="inlineStr">
        <is>
          <t>Interest expense</t>
        </is>
      </c>
      <c r="G287" t="inlineStr">
        <is>
          <t>other</t>
        </is>
      </c>
      <c r="H287" t="inlineStr">
        <is>
          <t>29687.50</t>
        </is>
      </c>
      <c r="I287" t="inlineStr"/>
    </row>
    <row r="288">
      <c r="A288" t="inlineStr">
        <is>
          <t>JE000286</t>
        </is>
      </c>
      <c r="B288" t="inlineStr">
        <is>
          <t>2025-07</t>
        </is>
      </c>
      <c r="C288" t="inlineStr">
        <is>
          <t>CC900</t>
        </is>
      </c>
      <c r="D288" t="inlineStr">
        <is>
          <t>Corporate</t>
        </is>
      </c>
      <c r="E288" t="inlineStr">
        <is>
          <t>9000</t>
        </is>
      </c>
      <c r="F288" t="inlineStr">
        <is>
          <t>Income tax</t>
        </is>
      </c>
      <c r="G288" t="inlineStr">
        <is>
          <t>other</t>
        </is>
      </c>
      <c r="H288" t="inlineStr">
        <is>
          <t>40975.14</t>
        </is>
      </c>
      <c r="I288" t="inlineStr"/>
    </row>
    <row r="289">
      <c r="A289" t="inlineStr">
        <is>
          <t>JE000287</t>
        </is>
      </c>
      <c r="B289" t="inlineStr">
        <is>
          <t>2025-08</t>
        </is>
      </c>
      <c r="C289" t="inlineStr">
        <is>
          <t>CC900</t>
        </is>
      </c>
      <c r="D289" t="inlineStr">
        <is>
          <t>Corporate</t>
        </is>
      </c>
      <c r="E289" t="inlineStr">
        <is>
          <t>4000</t>
        </is>
      </c>
      <c r="F289" t="inlineStr">
        <is>
          <t>Transaction fees</t>
        </is>
      </c>
      <c r="G289" t="inlineStr">
        <is>
          <t>revenue</t>
        </is>
      </c>
      <c r="H289" t="inlineStr">
        <is>
          <t>-2128226.09</t>
        </is>
      </c>
      <c r="I289" t="inlineStr"/>
    </row>
    <row r="290">
      <c r="A290" t="inlineStr">
        <is>
          <t>JE000288</t>
        </is>
      </c>
      <c r="B290" t="inlineStr">
        <is>
          <t>2025-08</t>
        </is>
      </c>
      <c r="C290" t="inlineStr">
        <is>
          <t>CC900</t>
        </is>
      </c>
      <c r="D290" t="inlineStr">
        <is>
          <t>Corporate</t>
        </is>
      </c>
      <c r="E290" t="inlineStr">
        <is>
          <t>4100</t>
        </is>
      </c>
      <c r="F290" t="inlineStr">
        <is>
          <t>Subscription fees</t>
        </is>
      </c>
      <c r="G290" t="inlineStr">
        <is>
          <t>revenue</t>
        </is>
      </c>
      <c r="H290" t="inlineStr">
        <is>
          <t>-747000.00</t>
        </is>
      </c>
      <c r="I290" t="inlineStr"/>
    </row>
    <row r="291">
      <c r="A291" t="inlineStr">
        <is>
          <t>JE000289</t>
        </is>
      </c>
      <c r="B291" t="inlineStr">
        <is>
          <t>2025-08</t>
        </is>
      </c>
      <c r="C291" t="inlineStr">
        <is>
          <t>CC900</t>
        </is>
      </c>
      <c r="D291" t="inlineStr">
        <is>
          <t>Corporate</t>
        </is>
      </c>
      <c r="E291" t="inlineStr">
        <is>
          <t>4200</t>
        </is>
      </c>
      <c r="F291" t="inlineStr">
        <is>
          <t>FX markup</t>
        </is>
      </c>
      <c r="G291" t="inlineStr">
        <is>
          <t>revenue</t>
        </is>
      </c>
      <c r="H291" t="inlineStr">
        <is>
          <t>-231169.39</t>
        </is>
      </c>
      <c r="I291" t="inlineStr"/>
    </row>
    <row r="292">
      <c r="A292" t="inlineStr">
        <is>
          <t>JE000290</t>
        </is>
      </c>
      <c r="B292" t="inlineStr">
        <is>
          <t>2025-08</t>
        </is>
      </c>
      <c r="C292" t="inlineStr">
        <is>
          <t>CC900</t>
        </is>
      </c>
      <c r="D292" t="inlineStr">
        <is>
          <t>Corporate</t>
        </is>
      </c>
      <c r="E292" t="inlineStr">
        <is>
          <t>5000</t>
        </is>
      </c>
      <c r="F292" t="inlineStr">
        <is>
          <t>Scheme and interchange costs</t>
        </is>
      </c>
      <c r="G292" t="inlineStr">
        <is>
          <t>cogs</t>
        </is>
      </c>
      <c r="H292" t="inlineStr">
        <is>
          <t>1065887.26</t>
        </is>
      </c>
      <c r="I292" t="inlineStr">
        <is>
          <t>includes scheme refund for Apr to Jul</t>
        </is>
      </c>
    </row>
    <row r="293">
      <c r="A293" t="inlineStr">
        <is>
          <t>JE000291</t>
        </is>
      </c>
      <c r="B293" t="inlineStr">
        <is>
          <t>2025-08</t>
        </is>
      </c>
      <c r="C293" t="inlineStr">
        <is>
          <t>CC900</t>
        </is>
      </c>
      <c r="D293" t="inlineStr">
        <is>
          <t>Corporate</t>
        </is>
      </c>
      <c r="E293" t="inlineStr">
        <is>
          <t>5100</t>
        </is>
      </c>
      <c r="F293" t="inlineStr">
        <is>
          <t>Cloud hosting</t>
        </is>
      </c>
      <c r="G293" t="inlineStr">
        <is>
          <t>cogs</t>
        </is>
      </c>
      <c r="H293" t="inlineStr">
        <is>
          <t>207296.23</t>
        </is>
      </c>
      <c r="I293" t="inlineStr">
        <is>
          <t>reclass of July cloud invoice</t>
        </is>
      </c>
    </row>
    <row r="294">
      <c r="A294" t="inlineStr">
        <is>
          <t>JE000292</t>
        </is>
      </c>
      <c r="B294" t="inlineStr">
        <is>
          <t>2025-08</t>
        </is>
      </c>
      <c r="C294" t="inlineStr">
        <is>
          <t>CC500</t>
        </is>
      </c>
      <c r="D294" t="inlineStr">
        <is>
          <t>General and administrative</t>
        </is>
      </c>
      <c r="E294" t="inlineStr">
        <is>
          <t>6200</t>
        </is>
      </c>
      <c r="F294" t="inlineStr">
        <is>
          <t>Facilities and administration</t>
        </is>
      </c>
      <c r="G294" t="inlineStr">
        <is>
          <t>opex</t>
        </is>
      </c>
      <c r="H294" t="inlineStr">
        <is>
          <t>-88000.00</t>
        </is>
      </c>
      <c r="I294" t="inlineStr">
        <is>
          <t>reversal of July error</t>
        </is>
      </c>
    </row>
    <row r="295">
      <c r="A295" t="inlineStr">
        <is>
          <t>JE000293</t>
        </is>
      </c>
      <c r="B295" t="inlineStr">
        <is>
          <t>2025-08</t>
        </is>
      </c>
      <c r="C295" t="inlineStr">
        <is>
          <t>CC100</t>
        </is>
      </c>
      <c r="D295" t="inlineStr">
        <is>
          <t>Engineering</t>
        </is>
      </c>
      <c r="E295" t="inlineStr">
        <is>
          <t>6000</t>
        </is>
      </c>
      <c r="F295" t="inlineStr">
        <is>
          <t>Salaries and wages</t>
        </is>
      </c>
      <c r="G295" t="inlineStr">
        <is>
          <t>opex</t>
        </is>
      </c>
      <c r="H295" t="inlineStr">
        <is>
          <t>590000.00</t>
        </is>
      </c>
      <c r="I295" t="inlineStr"/>
    </row>
    <row r="296">
      <c r="A296" t="inlineStr">
        <is>
          <t>JE000294</t>
        </is>
      </c>
      <c r="B296" t="inlineStr">
        <is>
          <t>2025-08</t>
        </is>
      </c>
      <c r="C296" t="inlineStr">
        <is>
          <t>CC200</t>
        </is>
      </c>
      <c r="D296" t="inlineStr">
        <is>
          <t>Sales</t>
        </is>
      </c>
      <c r="E296" t="inlineStr">
        <is>
          <t>6000</t>
        </is>
      </c>
      <c r="F296" t="inlineStr">
        <is>
          <t>Salaries and wages</t>
        </is>
      </c>
      <c r="G296" t="inlineStr">
        <is>
          <t>opex</t>
        </is>
      </c>
      <c r="H296" t="inlineStr">
        <is>
          <t>188000.00</t>
        </is>
      </c>
      <c r="I296" t="inlineStr"/>
    </row>
    <row r="297">
      <c r="A297" t="inlineStr">
        <is>
          <t>JE000295</t>
        </is>
      </c>
      <c r="B297" t="inlineStr">
        <is>
          <t>2025-08</t>
        </is>
      </c>
      <c r="C297" t="inlineStr">
        <is>
          <t>CC300</t>
        </is>
      </c>
      <c r="D297" t="inlineStr">
        <is>
          <t>Marketing</t>
        </is>
      </c>
      <c r="E297" t="inlineStr">
        <is>
          <t>6000</t>
        </is>
      </c>
      <c r="F297" t="inlineStr">
        <is>
          <t>Salaries and wages</t>
        </is>
      </c>
      <c r="G297" t="inlineStr">
        <is>
          <t>opex</t>
        </is>
      </c>
      <c r="H297" t="inlineStr">
        <is>
          <t>71200.00</t>
        </is>
      </c>
      <c r="I297" t="inlineStr"/>
    </row>
    <row r="298">
      <c r="A298" t="inlineStr">
        <is>
          <t>JE000296</t>
        </is>
      </c>
      <c r="B298" t="inlineStr">
        <is>
          <t>2025-08</t>
        </is>
      </c>
      <c r="C298" t="inlineStr">
        <is>
          <t>CC400</t>
        </is>
      </c>
      <c r="D298" t="inlineStr">
        <is>
          <t>Customer support</t>
        </is>
      </c>
      <c r="E298" t="inlineStr">
        <is>
          <t>6000</t>
        </is>
      </c>
      <c r="F298" t="inlineStr">
        <is>
          <t>Salaries and wages</t>
        </is>
      </c>
      <c r="G298" t="inlineStr">
        <is>
          <t>opex</t>
        </is>
      </c>
      <c r="H298" t="inlineStr">
        <is>
          <t>123200.00</t>
        </is>
      </c>
      <c r="I298" t="inlineStr"/>
    </row>
    <row r="299">
      <c r="A299" t="inlineStr">
        <is>
          <t>JE000297</t>
        </is>
      </c>
      <c r="B299" t="inlineStr">
        <is>
          <t>2025-08</t>
        </is>
      </c>
      <c r="C299" t="inlineStr">
        <is>
          <t>CC500</t>
        </is>
      </c>
      <c r="D299" t="inlineStr">
        <is>
          <t>General and administrative</t>
        </is>
      </c>
      <c r="E299" t="inlineStr">
        <is>
          <t>6000</t>
        </is>
      </c>
      <c r="F299" t="inlineStr">
        <is>
          <t>Salaries and wages</t>
        </is>
      </c>
      <c r="G299" t="inlineStr">
        <is>
          <t>opex</t>
        </is>
      </c>
      <c r="H299" t="inlineStr">
        <is>
          <t>118300.00</t>
        </is>
      </c>
      <c r="I299" t="inlineStr"/>
    </row>
    <row r="300">
      <c r="A300" t="inlineStr">
        <is>
          <t>JE000298</t>
        </is>
      </c>
      <c r="B300" t="inlineStr">
        <is>
          <t>2025-08</t>
        </is>
      </c>
      <c r="C300" t="inlineStr">
        <is>
          <t>CC300</t>
        </is>
      </c>
      <c r="D300" t="inlineStr">
        <is>
          <t>Marketing</t>
        </is>
      </c>
      <c r="E300" t="inlineStr">
        <is>
          <t>6100</t>
        </is>
      </c>
      <c r="F300" t="inlineStr">
        <is>
          <t>Marketing programmes</t>
        </is>
      </c>
      <c r="G300" t="inlineStr">
        <is>
          <t>opex</t>
        </is>
      </c>
      <c r="H300" t="inlineStr">
        <is>
          <t>180000.00</t>
        </is>
      </c>
      <c r="I300" t="inlineStr"/>
    </row>
    <row r="301">
      <c r="A301" t="inlineStr">
        <is>
          <t>JE000299</t>
        </is>
      </c>
      <c r="B301" t="inlineStr">
        <is>
          <t>2025-08</t>
        </is>
      </c>
      <c r="C301" t="inlineStr">
        <is>
          <t>CC500</t>
        </is>
      </c>
      <c r="D301" t="inlineStr">
        <is>
          <t>General and administrative</t>
        </is>
      </c>
      <c r="E301" t="inlineStr">
        <is>
          <t>6200</t>
        </is>
      </c>
      <c r="F301" t="inlineStr">
        <is>
          <t>Facilities and administration</t>
        </is>
      </c>
      <c r="G301" t="inlineStr">
        <is>
          <t>opex</t>
        </is>
      </c>
      <c r="H301" t="inlineStr">
        <is>
          <t>156880.00</t>
        </is>
      </c>
      <c r="I301" t="inlineStr"/>
    </row>
    <row r="302">
      <c r="A302" t="inlineStr">
        <is>
          <t>JE000300</t>
        </is>
      </c>
      <c r="B302" t="inlineStr">
        <is>
          <t>2025-08</t>
        </is>
      </c>
      <c r="C302" t="inlineStr">
        <is>
          <t>CC900</t>
        </is>
      </c>
      <c r="D302" t="inlineStr">
        <is>
          <t>Corporate</t>
        </is>
      </c>
      <c r="E302" t="inlineStr">
        <is>
          <t>7000</t>
        </is>
      </c>
      <c r="F302" t="inlineStr">
        <is>
          <t>Depreciation</t>
        </is>
      </c>
      <c r="G302" t="inlineStr">
        <is>
          <t>other</t>
        </is>
      </c>
      <c r="H302" t="inlineStr">
        <is>
          <t>89990.80</t>
        </is>
      </c>
      <c r="I302" t="inlineStr"/>
    </row>
    <row r="303">
      <c r="A303" t="inlineStr">
        <is>
          <t>JE000301</t>
        </is>
      </c>
      <c r="B303" t="inlineStr">
        <is>
          <t>2025-08</t>
        </is>
      </c>
      <c r="C303" t="inlineStr">
        <is>
          <t>CC900</t>
        </is>
      </c>
      <c r="D303" t="inlineStr">
        <is>
          <t>Corporate</t>
        </is>
      </c>
      <c r="E303" t="inlineStr">
        <is>
          <t>8000</t>
        </is>
      </c>
      <c r="F303" t="inlineStr">
        <is>
          <t>Interest expense</t>
        </is>
      </c>
      <c r="G303" t="inlineStr">
        <is>
          <t>other</t>
        </is>
      </c>
      <c r="H303" t="inlineStr">
        <is>
          <t>28697.92</t>
        </is>
      </c>
      <c r="I303" t="inlineStr"/>
    </row>
    <row r="304">
      <c r="A304" t="inlineStr">
        <is>
          <t>JE000302</t>
        </is>
      </c>
      <c r="B304" t="inlineStr">
        <is>
          <t>2025-08</t>
        </is>
      </c>
      <c r="C304" t="inlineStr">
        <is>
          <t>CC900</t>
        </is>
      </c>
      <c r="D304" t="inlineStr">
        <is>
          <t>Corporate</t>
        </is>
      </c>
      <c r="E304" t="inlineStr">
        <is>
          <t>9000</t>
        </is>
      </c>
      <c r="F304" t="inlineStr">
        <is>
          <t>Income tax</t>
        </is>
      </c>
      <c r="G304" t="inlineStr">
        <is>
          <t>other</t>
        </is>
      </c>
      <c r="H304" t="inlineStr">
        <is>
          <t>78738.09</t>
        </is>
      </c>
      <c r="I304" t="inlineStr"/>
    </row>
    <row r="305">
      <c r="A305" t="inlineStr">
        <is>
          <t>JE000303</t>
        </is>
      </c>
      <c r="B305" t="inlineStr">
        <is>
          <t>2025-09</t>
        </is>
      </c>
      <c r="C305" t="inlineStr">
        <is>
          <t>CC900</t>
        </is>
      </c>
      <c r="D305" t="inlineStr">
        <is>
          <t>Corporate</t>
        </is>
      </c>
      <c r="E305" t="inlineStr">
        <is>
          <t>4000</t>
        </is>
      </c>
      <c r="F305" t="inlineStr">
        <is>
          <t>Transaction fees</t>
        </is>
      </c>
      <c r="G305" t="inlineStr">
        <is>
          <t>revenue</t>
        </is>
      </c>
      <c r="H305" t="inlineStr">
        <is>
          <t>-2348188.49</t>
        </is>
      </c>
      <c r="I305" t="inlineStr"/>
    </row>
    <row r="306">
      <c r="A306" t="inlineStr">
        <is>
          <t>JE000304</t>
        </is>
      </c>
      <c r="B306" t="inlineStr">
        <is>
          <t>2025-09</t>
        </is>
      </c>
      <c r="C306" t="inlineStr">
        <is>
          <t>CC900</t>
        </is>
      </c>
      <c r="D306" t="inlineStr">
        <is>
          <t>Corporate</t>
        </is>
      </c>
      <c r="E306" t="inlineStr">
        <is>
          <t>4100</t>
        </is>
      </c>
      <c r="F306" t="inlineStr">
        <is>
          <t>Subscription fees</t>
        </is>
      </c>
      <c r="G306" t="inlineStr">
        <is>
          <t>revenue</t>
        </is>
      </c>
      <c r="H306" t="inlineStr">
        <is>
          <t>-757800.00</t>
        </is>
      </c>
      <c r="I306" t="inlineStr"/>
    </row>
    <row r="307">
      <c r="A307" t="inlineStr">
        <is>
          <t>JE000305</t>
        </is>
      </c>
      <c r="B307" t="inlineStr">
        <is>
          <t>2025-09</t>
        </is>
      </c>
      <c r="C307" t="inlineStr">
        <is>
          <t>CC900</t>
        </is>
      </c>
      <c r="D307" t="inlineStr">
        <is>
          <t>Corporate</t>
        </is>
      </c>
      <c r="E307" t="inlineStr">
        <is>
          <t>4200</t>
        </is>
      </c>
      <c r="F307" t="inlineStr">
        <is>
          <t>FX markup</t>
        </is>
      </c>
      <c r="G307" t="inlineStr">
        <is>
          <t>revenue</t>
        </is>
      </c>
      <c r="H307" t="inlineStr">
        <is>
          <t>-255061.85</t>
        </is>
      </c>
      <c r="I307" t="inlineStr"/>
    </row>
    <row r="308">
      <c r="A308" t="inlineStr">
        <is>
          <t>JE000306</t>
        </is>
      </c>
      <c r="B308" t="inlineStr">
        <is>
          <t>2025-09</t>
        </is>
      </c>
      <c r="C308" t="inlineStr">
        <is>
          <t>CC900</t>
        </is>
      </c>
      <c r="D308" t="inlineStr">
        <is>
          <t>Corporate</t>
        </is>
      </c>
      <c r="E308" t="inlineStr">
        <is>
          <t>5000</t>
        </is>
      </c>
      <c r="F308" t="inlineStr">
        <is>
          <t>Scheme and interchange costs</t>
        </is>
      </c>
      <c r="G308" t="inlineStr">
        <is>
          <t>cogs</t>
        </is>
      </c>
      <c r="H308" t="inlineStr">
        <is>
          <t>1336038.28</t>
        </is>
      </c>
      <c r="I308" t="inlineStr"/>
    </row>
    <row r="309">
      <c r="A309" t="inlineStr">
        <is>
          <t>JE000307</t>
        </is>
      </c>
      <c r="B309" t="inlineStr">
        <is>
          <t>2025-09</t>
        </is>
      </c>
      <c r="C309" t="inlineStr">
        <is>
          <t>CC900</t>
        </is>
      </c>
      <c r="D309" t="inlineStr">
        <is>
          <t>Corporate</t>
        </is>
      </c>
      <c r="E309" t="inlineStr">
        <is>
          <t>5100</t>
        </is>
      </c>
      <c r="F309" t="inlineStr">
        <is>
          <t>Cloud hosting</t>
        </is>
      </c>
      <c r="G309" t="inlineStr">
        <is>
          <t>cogs</t>
        </is>
      </c>
      <c r="H309" t="inlineStr">
        <is>
          <t>121443.56</t>
        </is>
      </c>
      <c r="I309" t="inlineStr"/>
    </row>
    <row r="310">
      <c r="A310" t="inlineStr">
        <is>
          <t>JE000308</t>
        </is>
      </c>
      <c r="B310" t="inlineStr">
        <is>
          <t>2025-09</t>
        </is>
      </c>
      <c r="C310" t="inlineStr">
        <is>
          <t>CC100</t>
        </is>
      </c>
      <c r="D310" t="inlineStr">
        <is>
          <t>Engineering</t>
        </is>
      </c>
      <c r="E310" t="inlineStr">
        <is>
          <t>6000</t>
        </is>
      </c>
      <c r="F310" t="inlineStr">
        <is>
          <t>Salaries and wages</t>
        </is>
      </c>
      <c r="G310" t="inlineStr">
        <is>
          <t>opex</t>
        </is>
      </c>
      <c r="H310" t="inlineStr">
        <is>
          <t>590000.00</t>
        </is>
      </c>
      <c r="I310" t="inlineStr"/>
    </row>
    <row r="311">
      <c r="A311" t="inlineStr">
        <is>
          <t>JE000309</t>
        </is>
      </c>
      <c r="B311" t="inlineStr">
        <is>
          <t>2025-09</t>
        </is>
      </c>
      <c r="C311" t="inlineStr">
        <is>
          <t>CC200</t>
        </is>
      </c>
      <c r="D311" t="inlineStr">
        <is>
          <t>Sales</t>
        </is>
      </c>
      <c r="E311" t="inlineStr">
        <is>
          <t>6000</t>
        </is>
      </c>
      <c r="F311" t="inlineStr">
        <is>
          <t>Salaries and wages</t>
        </is>
      </c>
      <c r="G311" t="inlineStr">
        <is>
          <t>opex</t>
        </is>
      </c>
      <c r="H311" t="inlineStr">
        <is>
          <t>188000.00</t>
        </is>
      </c>
      <c r="I311" t="inlineStr"/>
    </row>
    <row r="312">
      <c r="A312" t="inlineStr">
        <is>
          <t>JE000310</t>
        </is>
      </c>
      <c r="B312" t="inlineStr">
        <is>
          <t>2025-09</t>
        </is>
      </c>
      <c r="C312" t="inlineStr">
        <is>
          <t>CC300</t>
        </is>
      </c>
      <c r="D312" t="inlineStr">
        <is>
          <t>Marketing</t>
        </is>
      </c>
      <c r="E312" t="inlineStr">
        <is>
          <t>6000</t>
        </is>
      </c>
      <c r="F312" t="inlineStr">
        <is>
          <t>Salaries and wages</t>
        </is>
      </c>
      <c r="G312" t="inlineStr">
        <is>
          <t>opex</t>
        </is>
      </c>
      <c r="H312" t="inlineStr">
        <is>
          <t>71200.00</t>
        </is>
      </c>
      <c r="I312" t="inlineStr"/>
    </row>
    <row r="313">
      <c r="A313" t="inlineStr">
        <is>
          <t>JE000311</t>
        </is>
      </c>
      <c r="B313" t="inlineStr">
        <is>
          <t>2025-09</t>
        </is>
      </c>
      <c r="C313" t="inlineStr">
        <is>
          <t>CC400</t>
        </is>
      </c>
      <c r="D313" t="inlineStr">
        <is>
          <t>Customer support</t>
        </is>
      </c>
      <c r="E313" t="inlineStr">
        <is>
          <t>6000</t>
        </is>
      </c>
      <c r="F313" t="inlineStr">
        <is>
          <t>Salaries and wages</t>
        </is>
      </c>
      <c r="G313" t="inlineStr">
        <is>
          <t>opex</t>
        </is>
      </c>
      <c r="H313" t="inlineStr">
        <is>
          <t>123200.00</t>
        </is>
      </c>
      <c r="I313" t="inlineStr"/>
    </row>
    <row r="314">
      <c r="A314" t="inlineStr">
        <is>
          <t>JE000312</t>
        </is>
      </c>
      <c r="B314" t="inlineStr">
        <is>
          <t>2025-09</t>
        </is>
      </c>
      <c r="C314" t="inlineStr">
        <is>
          <t>CC500</t>
        </is>
      </c>
      <c r="D314" t="inlineStr">
        <is>
          <t>General and administrative</t>
        </is>
      </c>
      <c r="E314" t="inlineStr">
        <is>
          <t>6000</t>
        </is>
      </c>
      <c r="F314" t="inlineStr">
        <is>
          <t>Salaries and wages</t>
        </is>
      </c>
      <c r="G314" t="inlineStr">
        <is>
          <t>opex</t>
        </is>
      </c>
      <c r="H314" t="inlineStr">
        <is>
          <t>118300.00</t>
        </is>
      </c>
      <c r="I314" t="inlineStr"/>
    </row>
    <row r="315">
      <c r="A315" t="inlineStr">
        <is>
          <t>JE000313</t>
        </is>
      </c>
      <c r="B315" t="inlineStr">
        <is>
          <t>2025-09</t>
        </is>
      </c>
      <c r="C315" t="inlineStr">
        <is>
          <t>CC300</t>
        </is>
      </c>
      <c r="D315" t="inlineStr">
        <is>
          <t>Marketing</t>
        </is>
      </c>
      <c r="E315" t="inlineStr">
        <is>
          <t>6100</t>
        </is>
      </c>
      <c r="F315" t="inlineStr">
        <is>
          <t>Marketing programmes</t>
        </is>
      </c>
      <c r="G315" t="inlineStr">
        <is>
          <t>opex</t>
        </is>
      </c>
      <c r="H315" t="inlineStr">
        <is>
          <t>390000.00</t>
        </is>
      </c>
      <c r="I315" t="inlineStr"/>
    </row>
    <row r="316">
      <c r="A316" t="inlineStr">
        <is>
          <t>JE000314</t>
        </is>
      </c>
      <c r="B316" t="inlineStr">
        <is>
          <t>2025-09</t>
        </is>
      </c>
      <c r="C316" t="inlineStr">
        <is>
          <t>CC500</t>
        </is>
      </c>
      <c r="D316" t="inlineStr">
        <is>
          <t>General and administrative</t>
        </is>
      </c>
      <c r="E316" t="inlineStr">
        <is>
          <t>6200</t>
        </is>
      </c>
      <c r="F316" t="inlineStr">
        <is>
          <t>Facilities and administration</t>
        </is>
      </c>
      <c r="G316" t="inlineStr">
        <is>
          <t>opex</t>
        </is>
      </c>
      <c r="H316" t="inlineStr">
        <is>
          <t>156880.00</t>
        </is>
      </c>
      <c r="I316" t="inlineStr"/>
    </row>
    <row r="317">
      <c r="A317" t="inlineStr">
        <is>
          <t>JE000315</t>
        </is>
      </c>
      <c r="B317" t="inlineStr">
        <is>
          <t>2025-09</t>
        </is>
      </c>
      <c r="C317" t="inlineStr">
        <is>
          <t>CC900</t>
        </is>
      </c>
      <c r="D317" t="inlineStr">
        <is>
          <t>Corporate</t>
        </is>
      </c>
      <c r="E317" t="inlineStr">
        <is>
          <t>7000</t>
        </is>
      </c>
      <c r="F317" t="inlineStr">
        <is>
          <t>Depreciation</t>
        </is>
      </c>
      <c r="G317" t="inlineStr">
        <is>
          <t>other</t>
        </is>
      </c>
      <c r="H317" t="inlineStr">
        <is>
          <t>90696.02</t>
        </is>
      </c>
      <c r="I317" t="inlineStr"/>
    </row>
    <row r="318">
      <c r="A318" t="inlineStr">
        <is>
          <t>JE000316</t>
        </is>
      </c>
      <c r="B318" t="inlineStr">
        <is>
          <t>2025-09</t>
        </is>
      </c>
      <c r="C318" t="inlineStr">
        <is>
          <t>CC900</t>
        </is>
      </c>
      <c r="D318" t="inlineStr">
        <is>
          <t>Corporate</t>
        </is>
      </c>
      <c r="E318" t="inlineStr">
        <is>
          <t>8000</t>
        </is>
      </c>
      <c r="F318" t="inlineStr">
        <is>
          <t>Interest expense</t>
        </is>
      </c>
      <c r="G318" t="inlineStr">
        <is>
          <t>other</t>
        </is>
      </c>
      <c r="H318" t="inlineStr">
        <is>
          <t>27708.33</t>
        </is>
      </c>
      <c r="I318" t="inlineStr"/>
    </row>
    <row r="319">
      <c r="A319" t="inlineStr">
        <is>
          <t>JE000317</t>
        </is>
      </c>
      <c r="B319" t="inlineStr">
        <is>
          <t>2025-09</t>
        </is>
      </c>
      <c r="C319" t="inlineStr">
        <is>
          <t>CC900</t>
        </is>
      </c>
      <c r="D319" t="inlineStr">
        <is>
          <t>Corporate</t>
        </is>
      </c>
      <c r="E319" t="inlineStr">
        <is>
          <t>9000</t>
        </is>
      </c>
      <c r="F319" t="inlineStr">
        <is>
          <t>Income tax</t>
        </is>
      </c>
      <c r="G319" t="inlineStr">
        <is>
          <t>other</t>
        </is>
      </c>
      <c r="H319" t="inlineStr">
        <is>
          <t>30992.67</t>
        </is>
      </c>
      <c r="I3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cost_centre</t>
        </is>
      </c>
      <c r="C1" s="2" t="inlineStr">
        <is>
          <t>cost_centre_name</t>
        </is>
      </c>
      <c r="D1" s="2" t="inlineStr">
        <is>
          <t>account_code</t>
        </is>
      </c>
      <c r="E1" s="2" t="inlineStr">
        <is>
          <t>account_name</t>
        </is>
      </c>
      <c r="F1" s="2" t="inlineStr">
        <is>
          <t>budget_amount</t>
        </is>
      </c>
    </row>
    <row r="2">
      <c r="A2" t="inlineStr">
        <is>
          <t>2025-01</t>
        </is>
      </c>
      <c r="B2" t="inlineStr">
        <is>
          <t>CC900</t>
        </is>
      </c>
      <c r="C2" t="inlineStr">
        <is>
          <t>Corporate</t>
        </is>
      </c>
      <c r="D2" t="inlineStr">
        <is>
          <t>4000</t>
        </is>
      </c>
      <c r="E2" t="inlineStr">
        <is>
          <t>Transaction fees</t>
        </is>
      </c>
      <c r="F2" t="inlineStr">
        <is>
          <t>1587701</t>
        </is>
      </c>
    </row>
    <row r="3">
      <c r="A3" t="inlineStr">
        <is>
          <t>2025-01</t>
        </is>
      </c>
      <c r="B3" t="inlineStr">
        <is>
          <t>CC900</t>
        </is>
      </c>
      <c r="C3" t="inlineStr">
        <is>
          <t>Corporate</t>
        </is>
      </c>
      <c r="D3" t="inlineStr">
        <is>
          <t>4100</t>
        </is>
      </c>
      <c r="E3" t="inlineStr">
        <is>
          <t>Subscription fees</t>
        </is>
      </c>
      <c r="F3" t="inlineStr">
        <is>
          <t>685800</t>
        </is>
      </c>
    </row>
    <row r="4">
      <c r="A4" t="inlineStr">
        <is>
          <t>2025-01</t>
        </is>
      </c>
      <c r="B4" t="inlineStr">
        <is>
          <t>CC900</t>
        </is>
      </c>
      <c r="C4" t="inlineStr">
        <is>
          <t>Corporate</t>
        </is>
      </c>
      <c r="D4" t="inlineStr">
        <is>
          <t>4200</t>
        </is>
      </c>
      <c r="E4" t="inlineStr">
        <is>
          <t>FX markup</t>
        </is>
      </c>
      <c r="F4" t="inlineStr">
        <is>
          <t>161331</t>
        </is>
      </c>
    </row>
    <row r="5">
      <c r="A5" t="inlineStr">
        <is>
          <t>2025-01</t>
        </is>
      </c>
      <c r="B5" t="inlineStr">
        <is>
          <t>CC900</t>
        </is>
      </c>
      <c r="C5" t="inlineStr">
        <is>
          <t>Corporate</t>
        </is>
      </c>
      <c r="D5" t="inlineStr">
        <is>
          <t>5000</t>
        </is>
      </c>
      <c r="E5" t="inlineStr">
        <is>
          <t>Scheme and interchange costs</t>
        </is>
      </c>
      <c r="F5" t="inlineStr">
        <is>
          <t>845067</t>
        </is>
      </c>
    </row>
    <row r="6">
      <c r="A6" t="inlineStr">
        <is>
          <t>2025-01</t>
        </is>
      </c>
      <c r="B6" t="inlineStr">
        <is>
          <t>CC900</t>
        </is>
      </c>
      <c r="C6" t="inlineStr">
        <is>
          <t>Corporate</t>
        </is>
      </c>
      <c r="D6" t="inlineStr">
        <is>
          <t>5100</t>
        </is>
      </c>
      <c r="E6" t="inlineStr">
        <is>
          <t>Hosting</t>
        </is>
      </c>
      <c r="F6" t="inlineStr">
        <is>
          <t>105291</t>
        </is>
      </c>
    </row>
    <row r="7">
      <c r="A7" t="inlineStr">
        <is>
          <t>2025-01</t>
        </is>
      </c>
      <c r="B7" t="inlineStr">
        <is>
          <t>CC300</t>
        </is>
      </c>
      <c r="C7" t="inlineStr">
        <is>
          <t>Marketing</t>
        </is>
      </c>
      <c r="D7" t="inlineStr">
        <is>
          <t>6100</t>
        </is>
      </c>
      <c r="E7" t="inlineStr">
        <is>
          <t>Marketing programmes</t>
        </is>
      </c>
      <c r="F7" t="inlineStr">
        <is>
          <t>180000</t>
        </is>
      </c>
    </row>
    <row r="8">
      <c r="A8" t="inlineStr">
        <is>
          <t>2025-01</t>
        </is>
      </c>
      <c r="B8" t="inlineStr">
        <is>
          <t>CC500</t>
        </is>
      </c>
      <c r="C8" t="inlineStr">
        <is>
          <t>General and administrative</t>
        </is>
      </c>
      <c r="D8" t="inlineStr">
        <is>
          <t>6200</t>
        </is>
      </c>
      <c r="E8" t="inlineStr">
        <is>
          <t>Facilities</t>
        </is>
      </c>
      <c r="F8" t="inlineStr">
        <is>
          <t>156880</t>
        </is>
      </c>
    </row>
    <row r="9">
      <c r="A9" t="inlineStr">
        <is>
          <t>2025-01</t>
        </is>
      </c>
      <c r="B9" t="inlineStr">
        <is>
          <t>CC900</t>
        </is>
      </c>
      <c r="C9" t="inlineStr">
        <is>
          <t>Corporate</t>
        </is>
      </c>
      <c r="D9" t="inlineStr">
        <is>
          <t>7000</t>
        </is>
      </c>
      <c r="E9" t="inlineStr">
        <is>
          <t>Depreciation</t>
        </is>
      </c>
      <c r="F9" t="inlineStr">
        <is>
          <t>84556</t>
        </is>
      </c>
    </row>
    <row r="10">
      <c r="A10" t="inlineStr">
        <is>
          <t>2025-01</t>
        </is>
      </c>
      <c r="B10" t="inlineStr">
        <is>
          <t>CC900</t>
        </is>
      </c>
      <c r="C10" t="inlineStr">
        <is>
          <t>Corporate</t>
        </is>
      </c>
      <c r="D10" t="inlineStr">
        <is>
          <t>8000</t>
        </is>
      </c>
      <c r="E10" t="inlineStr">
        <is>
          <t>Interest expense</t>
        </is>
      </c>
      <c r="F10" t="inlineStr">
        <is>
          <t>35625</t>
        </is>
      </c>
    </row>
    <row r="11">
      <c r="A11" t="inlineStr">
        <is>
          <t>2025-01</t>
        </is>
      </c>
      <c r="B11" t="inlineStr">
        <is>
          <t>CC900</t>
        </is>
      </c>
      <c r="C11" t="inlineStr">
        <is>
          <t>Corporate</t>
        </is>
      </c>
      <c r="D11" t="inlineStr">
        <is>
          <t>9000</t>
        </is>
      </c>
      <c r="E11" t="inlineStr">
        <is>
          <t>Income tax</t>
        </is>
      </c>
      <c r="F11" t="inlineStr">
        <is>
          <t>12960</t>
        </is>
      </c>
    </row>
    <row r="12">
      <c r="A12" t="inlineStr">
        <is>
          <t>2025-01</t>
        </is>
      </c>
      <c r="B12" t="inlineStr">
        <is>
          <t>CC100</t>
        </is>
      </c>
      <c r="C12" t="inlineStr">
        <is>
          <t>Engineering</t>
        </is>
      </c>
      <c r="D12" t="inlineStr">
        <is>
          <t>6000</t>
        </is>
      </c>
      <c r="E12" t="inlineStr">
        <is>
          <t>Salaries and wages</t>
        </is>
      </c>
      <c r="F12" t="inlineStr">
        <is>
          <t>507400</t>
        </is>
      </c>
    </row>
    <row r="13">
      <c r="A13" t="inlineStr">
        <is>
          <t>2025-01</t>
        </is>
      </c>
      <c r="B13" t="inlineStr">
        <is>
          <t>CC200</t>
        </is>
      </c>
      <c r="C13" t="inlineStr">
        <is>
          <t>Sales</t>
        </is>
      </c>
      <c r="D13" t="inlineStr">
        <is>
          <t>6000</t>
        </is>
      </c>
      <c r="E13" t="inlineStr">
        <is>
          <t>Salaries and wages</t>
        </is>
      </c>
      <c r="F13" t="inlineStr">
        <is>
          <t>169200</t>
        </is>
      </c>
    </row>
    <row r="14">
      <c r="A14" t="inlineStr">
        <is>
          <t>2025-01</t>
        </is>
      </c>
      <c r="B14" t="inlineStr">
        <is>
          <t>CC300</t>
        </is>
      </c>
      <c r="C14" t="inlineStr">
        <is>
          <t>Marketing</t>
        </is>
      </c>
      <c r="D14" t="inlineStr">
        <is>
          <t>6000</t>
        </is>
      </c>
      <c r="E14" t="inlineStr">
        <is>
          <t>Salaries and wages</t>
        </is>
      </c>
      <c r="F14" t="inlineStr">
        <is>
          <t>62300</t>
        </is>
      </c>
    </row>
    <row r="15">
      <c r="A15" t="inlineStr">
        <is>
          <t>2025-01</t>
        </is>
      </c>
      <c r="B15" t="inlineStr">
        <is>
          <t>CC400</t>
        </is>
      </c>
      <c r="C15" t="inlineStr">
        <is>
          <t>Customer support</t>
        </is>
      </c>
      <c r="D15" t="inlineStr">
        <is>
          <t>6000</t>
        </is>
      </c>
      <c r="E15" t="inlineStr">
        <is>
          <t>Salaries and wages</t>
        </is>
      </c>
      <c r="F15" t="inlineStr">
        <is>
          <t>117600</t>
        </is>
      </c>
    </row>
    <row r="16">
      <c r="A16" t="inlineStr">
        <is>
          <t>2025-01</t>
        </is>
      </c>
      <c r="B16" t="inlineStr">
        <is>
          <t>CC500</t>
        </is>
      </c>
      <c r="C16" t="inlineStr">
        <is>
          <t>General and administrative</t>
        </is>
      </c>
      <c r="D16" t="inlineStr">
        <is>
          <t>6000</t>
        </is>
      </c>
      <c r="E16" t="inlineStr">
        <is>
          <t>Salaries and wages</t>
        </is>
      </c>
      <c r="F16" t="inlineStr">
        <is>
          <t>109200</t>
        </is>
      </c>
    </row>
    <row r="17">
      <c r="A17" t="inlineStr">
        <is>
          <t>2025-01</t>
        </is>
      </c>
      <c r="B17" t="inlineStr">
        <is>
          <t>CC600</t>
        </is>
      </c>
      <c r="C17" t="inlineStr">
        <is>
          <t>New product</t>
        </is>
      </c>
      <c r="D17" t="inlineStr">
        <is>
          <t>6000</t>
        </is>
      </c>
      <c r="E17" t="inlineStr">
        <is>
          <t>Salaries and wages</t>
        </is>
      </c>
      <c r="F17" t="inlineStr">
        <is>
          <t>96000</t>
        </is>
      </c>
    </row>
    <row r="18">
      <c r="A18" t="inlineStr">
        <is>
          <t>2025-02</t>
        </is>
      </c>
      <c r="B18" t="inlineStr">
        <is>
          <t>CC900</t>
        </is>
      </c>
      <c r="C18" t="inlineStr">
        <is>
          <t>Corporate</t>
        </is>
      </c>
      <c r="D18" t="inlineStr">
        <is>
          <t>4000</t>
        </is>
      </c>
      <c r="E18" t="inlineStr">
        <is>
          <t>Transaction fees</t>
        </is>
      </c>
      <c r="F18" t="inlineStr">
        <is>
          <t>1731422</t>
        </is>
      </c>
    </row>
    <row r="19">
      <c r="A19" t="inlineStr">
        <is>
          <t>2025-02</t>
        </is>
      </c>
      <c r="B19" t="inlineStr">
        <is>
          <t>CC900</t>
        </is>
      </c>
      <c r="C19" t="inlineStr">
        <is>
          <t>Corporate</t>
        </is>
      </c>
      <c r="D19" t="inlineStr">
        <is>
          <t>4100</t>
        </is>
      </c>
      <c r="E19" t="inlineStr">
        <is>
          <t>Subscription fees</t>
        </is>
      </c>
      <c r="F19" t="inlineStr">
        <is>
          <t>698400</t>
        </is>
      </c>
    </row>
    <row r="20">
      <c r="A20" t="inlineStr">
        <is>
          <t>2025-02</t>
        </is>
      </c>
      <c r="B20" t="inlineStr">
        <is>
          <t>CC900</t>
        </is>
      </c>
      <c r="C20" t="inlineStr">
        <is>
          <t>Corporate</t>
        </is>
      </c>
      <c r="D20" t="inlineStr">
        <is>
          <t>4200</t>
        </is>
      </c>
      <c r="E20" t="inlineStr">
        <is>
          <t>FX markup</t>
        </is>
      </c>
      <c r="F20" t="inlineStr">
        <is>
          <t>175935</t>
        </is>
      </c>
    </row>
    <row r="21">
      <c r="A21" t="inlineStr">
        <is>
          <t>2025-02</t>
        </is>
      </c>
      <c r="B21" t="inlineStr">
        <is>
          <t>CC900</t>
        </is>
      </c>
      <c r="C21" t="inlineStr">
        <is>
          <t>Corporate</t>
        </is>
      </c>
      <c r="D21" t="inlineStr">
        <is>
          <t>5000</t>
        </is>
      </c>
      <c r="E21" t="inlineStr">
        <is>
          <t>Scheme and interchange costs</t>
        </is>
      </c>
      <c r="F21" t="inlineStr">
        <is>
          <t>921564</t>
        </is>
      </c>
    </row>
    <row r="22">
      <c r="A22" t="inlineStr">
        <is>
          <t>2025-02</t>
        </is>
      </c>
      <c r="B22" t="inlineStr">
        <is>
          <t>CC900</t>
        </is>
      </c>
      <c r="C22" t="inlineStr">
        <is>
          <t>Corporate</t>
        </is>
      </c>
      <c r="D22" t="inlineStr">
        <is>
          <t>5100</t>
        </is>
      </c>
      <c r="E22" t="inlineStr">
        <is>
          <t>Hosting</t>
        </is>
      </c>
      <c r="F22" t="inlineStr">
        <is>
          <t>107186</t>
        </is>
      </c>
    </row>
    <row r="23">
      <c r="A23" t="inlineStr">
        <is>
          <t>2025-02</t>
        </is>
      </c>
      <c r="B23" t="inlineStr">
        <is>
          <t>CC300</t>
        </is>
      </c>
      <c r="C23" t="inlineStr">
        <is>
          <t>Marketing</t>
        </is>
      </c>
      <c r="D23" t="inlineStr">
        <is>
          <t>6100</t>
        </is>
      </c>
      <c r="E23" t="inlineStr">
        <is>
          <t>Marketing programmes</t>
        </is>
      </c>
      <c r="F23" t="inlineStr">
        <is>
          <t>180000</t>
        </is>
      </c>
    </row>
    <row r="24">
      <c r="A24" t="inlineStr">
        <is>
          <t>2025-02</t>
        </is>
      </c>
      <c r="B24" t="inlineStr">
        <is>
          <t>CC500</t>
        </is>
      </c>
      <c r="C24" t="inlineStr">
        <is>
          <t>General and administrative</t>
        </is>
      </c>
      <c r="D24" t="inlineStr">
        <is>
          <t>6200</t>
        </is>
      </c>
      <c r="E24" t="inlineStr">
        <is>
          <t>Facilities</t>
        </is>
      </c>
      <c r="F24" t="inlineStr">
        <is>
          <t>156880</t>
        </is>
      </c>
    </row>
    <row r="25">
      <c r="A25" t="inlineStr">
        <is>
          <t>2025-02</t>
        </is>
      </c>
      <c r="B25" t="inlineStr">
        <is>
          <t>CC900</t>
        </is>
      </c>
      <c r="C25" t="inlineStr">
        <is>
          <t>Corporate</t>
        </is>
      </c>
      <c r="D25" t="inlineStr">
        <is>
          <t>7000</t>
        </is>
      </c>
      <c r="E25" t="inlineStr">
        <is>
          <t>Depreciation</t>
        </is>
      </c>
      <c r="F25" t="inlineStr">
        <is>
          <t>85388</t>
        </is>
      </c>
    </row>
    <row r="26">
      <c r="A26" t="inlineStr">
        <is>
          <t>2025-02</t>
        </is>
      </c>
      <c r="B26" t="inlineStr">
        <is>
          <t>CC900</t>
        </is>
      </c>
      <c r="C26" t="inlineStr">
        <is>
          <t>Corporate</t>
        </is>
      </c>
      <c r="D26" t="inlineStr">
        <is>
          <t>8000</t>
        </is>
      </c>
      <c r="E26" t="inlineStr">
        <is>
          <t>Interest expense</t>
        </is>
      </c>
      <c r="F26" t="inlineStr">
        <is>
          <t>34635</t>
        </is>
      </c>
    </row>
    <row r="27">
      <c r="A27" t="inlineStr">
        <is>
          <t>2025-02</t>
        </is>
      </c>
      <c r="B27" t="inlineStr">
        <is>
          <t>CC900</t>
        </is>
      </c>
      <c r="C27" t="inlineStr">
        <is>
          <t>Corporate</t>
        </is>
      </c>
      <c r="D27" t="inlineStr">
        <is>
          <t>9000</t>
        </is>
      </c>
      <c r="E27" t="inlineStr">
        <is>
          <t>Income tax</t>
        </is>
      </c>
      <c r="F27" t="inlineStr">
        <is>
          <t>20161</t>
        </is>
      </c>
    </row>
    <row r="28">
      <c r="A28" t="inlineStr">
        <is>
          <t>2025-02</t>
        </is>
      </c>
      <c r="B28" t="inlineStr">
        <is>
          <t>CC100</t>
        </is>
      </c>
      <c r="C28" t="inlineStr">
        <is>
          <t>Engineering</t>
        </is>
      </c>
      <c r="D28" t="inlineStr">
        <is>
          <t>6000</t>
        </is>
      </c>
      <c r="E28" t="inlineStr">
        <is>
          <t>Salaries and wages</t>
        </is>
      </c>
      <c r="F28" t="inlineStr">
        <is>
          <t>554600</t>
        </is>
      </c>
    </row>
    <row r="29">
      <c r="A29" t="inlineStr">
        <is>
          <t>2025-02</t>
        </is>
      </c>
      <c r="B29" t="inlineStr">
        <is>
          <t>CC200</t>
        </is>
      </c>
      <c r="C29" t="inlineStr">
        <is>
          <t>Sales</t>
        </is>
      </c>
      <c r="D29" t="inlineStr">
        <is>
          <t>6000</t>
        </is>
      </c>
      <c r="E29" t="inlineStr">
        <is>
          <t>Salaries and wages</t>
        </is>
      </c>
      <c r="F29" t="inlineStr">
        <is>
          <t>169200</t>
        </is>
      </c>
    </row>
    <row r="30">
      <c r="A30" t="inlineStr">
        <is>
          <t>2025-02</t>
        </is>
      </c>
      <c r="B30" t="inlineStr">
        <is>
          <t>CC300</t>
        </is>
      </c>
      <c r="C30" t="inlineStr">
        <is>
          <t>Marketing</t>
        </is>
      </c>
      <c r="D30" t="inlineStr">
        <is>
          <t>6000</t>
        </is>
      </c>
      <c r="E30" t="inlineStr">
        <is>
          <t>Salaries and wages</t>
        </is>
      </c>
      <c r="F30" t="inlineStr">
        <is>
          <t>62300</t>
        </is>
      </c>
    </row>
    <row r="31">
      <c r="A31" t="inlineStr">
        <is>
          <t>2025-02</t>
        </is>
      </c>
      <c r="B31" t="inlineStr">
        <is>
          <t>CC400</t>
        </is>
      </c>
      <c r="C31" t="inlineStr">
        <is>
          <t>Customer support</t>
        </is>
      </c>
      <c r="D31" t="inlineStr">
        <is>
          <t>6000</t>
        </is>
      </c>
      <c r="E31" t="inlineStr">
        <is>
          <t>Salaries and wages</t>
        </is>
      </c>
      <c r="F31" t="inlineStr">
        <is>
          <t>128800</t>
        </is>
      </c>
    </row>
    <row r="32">
      <c r="A32" t="inlineStr">
        <is>
          <t>2025-02</t>
        </is>
      </c>
      <c r="B32" t="inlineStr">
        <is>
          <t>CC500</t>
        </is>
      </c>
      <c r="C32" t="inlineStr">
        <is>
          <t>General and administrative</t>
        </is>
      </c>
      <c r="D32" t="inlineStr">
        <is>
          <t>6000</t>
        </is>
      </c>
      <c r="E32" t="inlineStr">
        <is>
          <t>Salaries and wages</t>
        </is>
      </c>
      <c r="F32" t="inlineStr">
        <is>
          <t>109200</t>
        </is>
      </c>
    </row>
    <row r="33">
      <c r="A33" t="inlineStr">
        <is>
          <t>2025-02</t>
        </is>
      </c>
      <c r="B33" t="inlineStr">
        <is>
          <t>CC600</t>
        </is>
      </c>
      <c r="C33" t="inlineStr">
        <is>
          <t>New product</t>
        </is>
      </c>
      <c r="D33" t="inlineStr">
        <is>
          <t>6000</t>
        </is>
      </c>
      <c r="E33" t="inlineStr">
        <is>
          <t>Salaries and wages</t>
        </is>
      </c>
      <c r="F33" t="inlineStr">
        <is>
          <t>96000</t>
        </is>
      </c>
    </row>
    <row r="34">
      <c r="A34" t="inlineStr">
        <is>
          <t>2025-03</t>
        </is>
      </c>
      <c r="B34" t="inlineStr">
        <is>
          <t>CC900</t>
        </is>
      </c>
      <c r="C34" t="inlineStr">
        <is>
          <t>Corporate</t>
        </is>
      </c>
      <c r="D34" t="inlineStr">
        <is>
          <t>4000</t>
        </is>
      </c>
      <c r="E34" t="inlineStr">
        <is>
          <t>Transaction fees</t>
        </is>
      </c>
      <c r="F34" t="inlineStr">
        <is>
          <t>1917284</t>
        </is>
      </c>
    </row>
    <row r="35">
      <c r="A35" t="inlineStr">
        <is>
          <t>2025-03</t>
        </is>
      </c>
      <c r="B35" t="inlineStr">
        <is>
          <t>CC900</t>
        </is>
      </c>
      <c r="C35" t="inlineStr">
        <is>
          <t>Corporate</t>
        </is>
      </c>
      <c r="D35" t="inlineStr">
        <is>
          <t>4100</t>
        </is>
      </c>
      <c r="E35" t="inlineStr">
        <is>
          <t>Subscription fees</t>
        </is>
      </c>
      <c r="F35" t="inlineStr">
        <is>
          <t>714600</t>
        </is>
      </c>
    </row>
    <row r="36">
      <c r="A36" t="inlineStr">
        <is>
          <t>2025-03</t>
        </is>
      </c>
      <c r="B36" t="inlineStr">
        <is>
          <t>CC900</t>
        </is>
      </c>
      <c r="C36" t="inlineStr">
        <is>
          <t>Corporate</t>
        </is>
      </c>
      <c r="D36" t="inlineStr">
        <is>
          <t>4200</t>
        </is>
      </c>
      <c r="E36" t="inlineStr">
        <is>
          <t>FX markup</t>
        </is>
      </c>
      <c r="F36" t="inlineStr">
        <is>
          <t>194821</t>
        </is>
      </c>
    </row>
    <row r="37">
      <c r="A37" t="inlineStr">
        <is>
          <t>2025-03</t>
        </is>
      </c>
      <c r="B37" t="inlineStr">
        <is>
          <t>CC900</t>
        </is>
      </c>
      <c r="C37" t="inlineStr">
        <is>
          <t>Corporate</t>
        </is>
      </c>
      <c r="D37" t="inlineStr">
        <is>
          <t>5000</t>
        </is>
      </c>
      <c r="E37" t="inlineStr">
        <is>
          <t>Scheme and interchange costs</t>
        </is>
      </c>
      <c r="F37" t="inlineStr">
        <is>
          <t>1020490</t>
        </is>
      </c>
    </row>
    <row r="38">
      <c r="A38" t="inlineStr">
        <is>
          <t>2025-03</t>
        </is>
      </c>
      <c r="B38" t="inlineStr">
        <is>
          <t>CC900</t>
        </is>
      </c>
      <c r="C38" t="inlineStr">
        <is>
          <t>Corporate</t>
        </is>
      </c>
      <c r="D38" t="inlineStr">
        <is>
          <t>5100</t>
        </is>
      </c>
      <c r="E38" t="inlineStr">
        <is>
          <t>Hosting</t>
        </is>
      </c>
      <c r="F38" t="inlineStr">
        <is>
          <t>109116</t>
        </is>
      </c>
    </row>
    <row r="39">
      <c r="A39" t="inlineStr">
        <is>
          <t>2025-03</t>
        </is>
      </c>
      <c r="B39" t="inlineStr">
        <is>
          <t>CC300</t>
        </is>
      </c>
      <c r="C39" t="inlineStr">
        <is>
          <t>Marketing</t>
        </is>
      </c>
      <c r="D39" t="inlineStr">
        <is>
          <t>6100</t>
        </is>
      </c>
      <c r="E39" t="inlineStr">
        <is>
          <t>Marketing programmes</t>
        </is>
      </c>
      <c r="F39" t="inlineStr">
        <is>
          <t>180000</t>
        </is>
      </c>
    </row>
    <row r="40">
      <c r="A40" t="inlineStr">
        <is>
          <t>2025-03</t>
        </is>
      </c>
      <c r="B40" t="inlineStr">
        <is>
          <t>CC500</t>
        </is>
      </c>
      <c r="C40" t="inlineStr">
        <is>
          <t>General and administrative</t>
        </is>
      </c>
      <c r="D40" t="inlineStr">
        <is>
          <t>6200</t>
        </is>
      </c>
      <c r="E40" t="inlineStr">
        <is>
          <t>Facilities</t>
        </is>
      </c>
      <c r="F40" t="inlineStr">
        <is>
          <t>156880</t>
        </is>
      </c>
    </row>
    <row r="41">
      <c r="A41" t="inlineStr">
        <is>
          <t>2025-03</t>
        </is>
      </c>
      <c r="B41" t="inlineStr">
        <is>
          <t>CC900</t>
        </is>
      </c>
      <c r="C41" t="inlineStr">
        <is>
          <t>Corporate</t>
        </is>
      </c>
      <c r="D41" t="inlineStr">
        <is>
          <t>7000</t>
        </is>
      </c>
      <c r="E41" t="inlineStr">
        <is>
          <t>Depreciation</t>
        </is>
      </c>
      <c r="F41" t="inlineStr">
        <is>
          <t>86202</t>
        </is>
      </c>
    </row>
    <row r="42">
      <c r="A42" t="inlineStr">
        <is>
          <t>2025-03</t>
        </is>
      </c>
      <c r="B42" t="inlineStr">
        <is>
          <t>CC900</t>
        </is>
      </c>
      <c r="C42" t="inlineStr">
        <is>
          <t>Corporate</t>
        </is>
      </c>
      <c r="D42" t="inlineStr">
        <is>
          <t>8000</t>
        </is>
      </c>
      <c r="E42" t="inlineStr">
        <is>
          <t>Interest expense</t>
        </is>
      </c>
      <c r="F42" t="inlineStr">
        <is>
          <t>33646</t>
        </is>
      </c>
    </row>
    <row r="43">
      <c r="A43" t="inlineStr">
        <is>
          <t>2025-03</t>
        </is>
      </c>
      <c r="B43" t="inlineStr">
        <is>
          <t>CC900</t>
        </is>
      </c>
      <c r="C43" t="inlineStr">
        <is>
          <t>Corporate</t>
        </is>
      </c>
      <c r="D43" t="inlineStr">
        <is>
          <t>9000</t>
        </is>
      </c>
      <c r="E43" t="inlineStr">
        <is>
          <t>Income tax</t>
        </is>
      </c>
      <c r="F43" t="inlineStr">
        <is>
          <t>43548</t>
        </is>
      </c>
    </row>
    <row r="44">
      <c r="A44" t="inlineStr">
        <is>
          <t>2025-03</t>
        </is>
      </c>
      <c r="B44" t="inlineStr">
        <is>
          <t>CC100</t>
        </is>
      </c>
      <c r="C44" t="inlineStr">
        <is>
          <t>Engineering</t>
        </is>
      </c>
      <c r="D44" t="inlineStr">
        <is>
          <t>6000</t>
        </is>
      </c>
      <c r="E44" t="inlineStr">
        <is>
          <t>Salaries and wages</t>
        </is>
      </c>
      <c r="F44" t="inlineStr">
        <is>
          <t>554600</t>
        </is>
      </c>
    </row>
    <row r="45">
      <c r="A45" t="inlineStr">
        <is>
          <t>2025-03</t>
        </is>
      </c>
      <c r="B45" t="inlineStr">
        <is>
          <t>CC200</t>
        </is>
      </c>
      <c r="C45" t="inlineStr">
        <is>
          <t>Sales</t>
        </is>
      </c>
      <c r="D45" t="inlineStr">
        <is>
          <t>6000</t>
        </is>
      </c>
      <c r="E45" t="inlineStr">
        <is>
          <t>Salaries and wages</t>
        </is>
      </c>
      <c r="F45" t="inlineStr">
        <is>
          <t>169200</t>
        </is>
      </c>
    </row>
    <row r="46">
      <c r="A46" t="inlineStr">
        <is>
          <t>2025-03</t>
        </is>
      </c>
      <c r="B46" t="inlineStr">
        <is>
          <t>CC300</t>
        </is>
      </c>
      <c r="C46" t="inlineStr">
        <is>
          <t>Marketing</t>
        </is>
      </c>
      <c r="D46" t="inlineStr">
        <is>
          <t>6000</t>
        </is>
      </c>
      <c r="E46" t="inlineStr">
        <is>
          <t>Salaries and wages</t>
        </is>
      </c>
      <c r="F46" t="inlineStr">
        <is>
          <t>71200</t>
        </is>
      </c>
    </row>
    <row r="47">
      <c r="A47" t="inlineStr">
        <is>
          <t>2025-03</t>
        </is>
      </c>
      <c r="B47" t="inlineStr">
        <is>
          <t>CC400</t>
        </is>
      </c>
      <c r="C47" t="inlineStr">
        <is>
          <t>Customer support</t>
        </is>
      </c>
      <c r="D47" t="inlineStr">
        <is>
          <t>6000</t>
        </is>
      </c>
      <c r="E47" t="inlineStr">
        <is>
          <t>Salaries and wages</t>
        </is>
      </c>
      <c r="F47" t="inlineStr">
        <is>
          <t>128800</t>
        </is>
      </c>
    </row>
    <row r="48">
      <c r="A48" t="inlineStr">
        <is>
          <t>2025-03</t>
        </is>
      </c>
      <c r="B48" t="inlineStr">
        <is>
          <t>CC500</t>
        </is>
      </c>
      <c r="C48" t="inlineStr">
        <is>
          <t>General and administrative</t>
        </is>
      </c>
      <c r="D48" t="inlineStr">
        <is>
          <t>6000</t>
        </is>
      </c>
      <c r="E48" t="inlineStr">
        <is>
          <t>Salaries and wages</t>
        </is>
      </c>
      <c r="F48" t="inlineStr">
        <is>
          <t>109200</t>
        </is>
      </c>
    </row>
    <row r="49">
      <c r="A49" t="inlineStr">
        <is>
          <t>2025-03</t>
        </is>
      </c>
      <c r="B49" t="inlineStr">
        <is>
          <t>CC600</t>
        </is>
      </c>
      <c r="C49" t="inlineStr">
        <is>
          <t>New product</t>
        </is>
      </c>
      <c r="D49" t="inlineStr">
        <is>
          <t>6000</t>
        </is>
      </c>
      <c r="E49" t="inlineStr">
        <is>
          <t>Salaries and wages</t>
        </is>
      </c>
      <c r="F49" t="inlineStr">
        <is>
          <t>96000</t>
        </is>
      </c>
    </row>
    <row r="50">
      <c r="A50" t="inlineStr">
        <is>
          <t>2025-04</t>
        </is>
      </c>
      <c r="B50" t="inlineStr">
        <is>
          <t>CC900</t>
        </is>
      </c>
      <c r="C50" t="inlineStr">
        <is>
          <t>Corporate</t>
        </is>
      </c>
      <c r="D50" t="inlineStr">
        <is>
          <t>4000</t>
        </is>
      </c>
      <c r="E50" t="inlineStr">
        <is>
          <t>Transaction fees</t>
        </is>
      </c>
      <c r="F50" t="inlineStr">
        <is>
          <t>1922498</t>
        </is>
      </c>
    </row>
    <row r="51">
      <c r="A51" t="inlineStr">
        <is>
          <t>2025-04</t>
        </is>
      </c>
      <c r="B51" t="inlineStr">
        <is>
          <t>CC900</t>
        </is>
      </c>
      <c r="C51" t="inlineStr">
        <is>
          <t>Corporate</t>
        </is>
      </c>
      <c r="D51" t="inlineStr">
        <is>
          <t>4100</t>
        </is>
      </c>
      <c r="E51" t="inlineStr">
        <is>
          <t>Subscription fees</t>
        </is>
      </c>
      <c r="F51" t="inlineStr">
        <is>
          <t>730800</t>
        </is>
      </c>
    </row>
    <row r="52">
      <c r="A52" t="inlineStr">
        <is>
          <t>2025-04</t>
        </is>
      </c>
      <c r="B52" t="inlineStr">
        <is>
          <t>CC900</t>
        </is>
      </c>
      <c r="C52" t="inlineStr">
        <is>
          <t>Corporate</t>
        </is>
      </c>
      <c r="D52" t="inlineStr">
        <is>
          <t>4200</t>
        </is>
      </c>
      <c r="E52" t="inlineStr">
        <is>
          <t>FX markup</t>
        </is>
      </c>
      <c r="F52" t="inlineStr">
        <is>
          <t>195351</t>
        </is>
      </c>
    </row>
    <row r="53">
      <c r="A53" t="inlineStr">
        <is>
          <t>2025-04</t>
        </is>
      </c>
      <c r="B53" t="inlineStr">
        <is>
          <t>CC900</t>
        </is>
      </c>
      <c r="C53" t="inlineStr">
        <is>
          <t>Corporate</t>
        </is>
      </c>
      <c r="D53" t="inlineStr">
        <is>
          <t>5000</t>
        </is>
      </c>
      <c r="E53" t="inlineStr">
        <is>
          <t>Scheme and interchange costs</t>
        </is>
      </c>
      <c r="F53" t="inlineStr">
        <is>
          <t>1023265</t>
        </is>
      </c>
    </row>
    <row r="54">
      <c r="A54" t="inlineStr">
        <is>
          <t>2025-04</t>
        </is>
      </c>
      <c r="B54" t="inlineStr">
        <is>
          <t>CC900</t>
        </is>
      </c>
      <c r="C54" t="inlineStr">
        <is>
          <t>Corporate</t>
        </is>
      </c>
      <c r="D54" t="inlineStr">
        <is>
          <t>5100</t>
        </is>
      </c>
      <c r="E54" t="inlineStr">
        <is>
          <t>Hosting</t>
        </is>
      </c>
      <c r="F54" t="inlineStr">
        <is>
          <t>111080</t>
        </is>
      </c>
    </row>
    <row r="55">
      <c r="A55" t="inlineStr">
        <is>
          <t>2025-04</t>
        </is>
      </c>
      <c r="B55" t="inlineStr">
        <is>
          <t>CC300</t>
        </is>
      </c>
      <c r="C55" t="inlineStr">
        <is>
          <t>Marketing</t>
        </is>
      </c>
      <c r="D55" t="inlineStr">
        <is>
          <t>6100</t>
        </is>
      </c>
      <c r="E55" t="inlineStr">
        <is>
          <t>Marketing programmes</t>
        </is>
      </c>
      <c r="F55" t="inlineStr">
        <is>
          <t>180000</t>
        </is>
      </c>
    </row>
    <row r="56">
      <c r="A56" t="inlineStr">
        <is>
          <t>2025-04</t>
        </is>
      </c>
      <c r="B56" t="inlineStr">
        <is>
          <t>CC500</t>
        </is>
      </c>
      <c r="C56" t="inlineStr">
        <is>
          <t>General and administrative</t>
        </is>
      </c>
      <c r="D56" t="inlineStr">
        <is>
          <t>6200</t>
        </is>
      </c>
      <c r="E56" t="inlineStr">
        <is>
          <t>Facilities</t>
        </is>
      </c>
      <c r="F56" t="inlineStr">
        <is>
          <t>156880</t>
        </is>
      </c>
    </row>
    <row r="57">
      <c r="A57" t="inlineStr">
        <is>
          <t>2025-04</t>
        </is>
      </c>
      <c r="B57" t="inlineStr">
        <is>
          <t>CC900</t>
        </is>
      </c>
      <c r="C57" t="inlineStr">
        <is>
          <t>Corporate</t>
        </is>
      </c>
      <c r="D57" t="inlineStr">
        <is>
          <t>7000</t>
        </is>
      </c>
      <c r="E57" t="inlineStr">
        <is>
          <t>Depreciation</t>
        </is>
      </c>
      <c r="F57" t="inlineStr">
        <is>
          <t>86996</t>
        </is>
      </c>
    </row>
    <row r="58">
      <c r="A58" t="inlineStr">
        <is>
          <t>2025-04</t>
        </is>
      </c>
      <c r="B58" t="inlineStr">
        <is>
          <t>CC900</t>
        </is>
      </c>
      <c r="C58" t="inlineStr">
        <is>
          <t>Corporate</t>
        </is>
      </c>
      <c r="D58" t="inlineStr">
        <is>
          <t>8000</t>
        </is>
      </c>
      <c r="E58" t="inlineStr">
        <is>
          <t>Interest expense</t>
        </is>
      </c>
      <c r="F58" t="inlineStr">
        <is>
          <t>32656</t>
        </is>
      </c>
    </row>
    <row r="59">
      <c r="A59" t="inlineStr">
        <is>
          <t>2025-04</t>
        </is>
      </c>
      <c r="B59" t="inlineStr">
        <is>
          <t>CC900</t>
        </is>
      </c>
      <c r="C59" t="inlineStr">
        <is>
          <t>Corporate</t>
        </is>
      </c>
      <c r="D59" t="inlineStr">
        <is>
          <t>9000</t>
        </is>
      </c>
      <c r="E59" t="inlineStr">
        <is>
          <t>Income tax</t>
        </is>
      </c>
      <c r="F59" t="inlineStr">
        <is>
          <t>46026</t>
        </is>
      </c>
    </row>
    <row r="60">
      <c r="A60" t="inlineStr">
        <is>
          <t>2025-04</t>
        </is>
      </c>
      <c r="B60" t="inlineStr">
        <is>
          <t>CC100</t>
        </is>
      </c>
      <c r="C60" t="inlineStr">
        <is>
          <t>Engineering</t>
        </is>
      </c>
      <c r="D60" t="inlineStr">
        <is>
          <t>6000</t>
        </is>
      </c>
      <c r="E60" t="inlineStr">
        <is>
          <t>Salaries and wages</t>
        </is>
      </c>
      <c r="F60" t="inlineStr">
        <is>
          <t>554600</t>
        </is>
      </c>
    </row>
    <row r="61">
      <c r="A61" t="inlineStr">
        <is>
          <t>2025-04</t>
        </is>
      </c>
      <c r="B61" t="inlineStr">
        <is>
          <t>CC200</t>
        </is>
      </c>
      <c r="C61" t="inlineStr">
        <is>
          <t>Sales</t>
        </is>
      </c>
      <c r="D61" t="inlineStr">
        <is>
          <t>6000</t>
        </is>
      </c>
      <c r="E61" t="inlineStr">
        <is>
          <t>Salaries and wages</t>
        </is>
      </c>
      <c r="F61" t="inlineStr">
        <is>
          <t>169200</t>
        </is>
      </c>
    </row>
    <row r="62">
      <c r="A62" t="inlineStr">
        <is>
          <t>2025-04</t>
        </is>
      </c>
      <c r="B62" t="inlineStr">
        <is>
          <t>CC300</t>
        </is>
      </c>
      <c r="C62" t="inlineStr">
        <is>
          <t>Marketing</t>
        </is>
      </c>
      <c r="D62" t="inlineStr">
        <is>
          <t>6000</t>
        </is>
      </c>
      <c r="E62" t="inlineStr">
        <is>
          <t>Salaries and wages</t>
        </is>
      </c>
      <c r="F62" t="inlineStr">
        <is>
          <t>71200</t>
        </is>
      </c>
    </row>
    <row r="63">
      <c r="A63" t="inlineStr">
        <is>
          <t>2025-04</t>
        </is>
      </c>
      <c r="B63" t="inlineStr">
        <is>
          <t>CC400</t>
        </is>
      </c>
      <c r="C63" t="inlineStr">
        <is>
          <t>Customer support</t>
        </is>
      </c>
      <c r="D63" t="inlineStr">
        <is>
          <t>6000</t>
        </is>
      </c>
      <c r="E63" t="inlineStr">
        <is>
          <t>Salaries and wages</t>
        </is>
      </c>
      <c r="F63" t="inlineStr">
        <is>
          <t>134400</t>
        </is>
      </c>
    </row>
    <row r="64">
      <c r="A64" t="inlineStr">
        <is>
          <t>2025-04</t>
        </is>
      </c>
      <c r="B64" t="inlineStr">
        <is>
          <t>CC500</t>
        </is>
      </c>
      <c r="C64" t="inlineStr">
        <is>
          <t>General and administrative</t>
        </is>
      </c>
      <c r="D64" t="inlineStr">
        <is>
          <t>6000</t>
        </is>
      </c>
      <c r="E64" t="inlineStr">
        <is>
          <t>Salaries and wages</t>
        </is>
      </c>
      <c r="F64" t="inlineStr">
        <is>
          <t>109200</t>
        </is>
      </c>
    </row>
    <row r="65">
      <c r="A65" t="inlineStr">
        <is>
          <t>2025-04</t>
        </is>
      </c>
      <c r="B65" t="inlineStr">
        <is>
          <t>CC600</t>
        </is>
      </c>
      <c r="C65" t="inlineStr">
        <is>
          <t>New product</t>
        </is>
      </c>
      <c r="D65" t="inlineStr">
        <is>
          <t>6000</t>
        </is>
      </c>
      <c r="E65" t="inlineStr">
        <is>
          <t>Salaries and wages</t>
        </is>
      </c>
      <c r="F65" t="inlineStr">
        <is>
          <t>96000</t>
        </is>
      </c>
    </row>
    <row r="66">
      <c r="A66" t="inlineStr">
        <is>
          <t>2025-05</t>
        </is>
      </c>
      <c r="B66" t="inlineStr">
        <is>
          <t>CC900</t>
        </is>
      </c>
      <c r="C66" t="inlineStr">
        <is>
          <t>Corporate</t>
        </is>
      </c>
      <c r="D66" t="inlineStr">
        <is>
          <t>4000</t>
        </is>
      </c>
      <c r="E66" t="inlineStr">
        <is>
          <t>Transaction fees</t>
        </is>
      </c>
      <c r="F66" t="inlineStr">
        <is>
          <t>2032924</t>
        </is>
      </c>
    </row>
    <row r="67">
      <c r="A67" t="inlineStr">
        <is>
          <t>2025-05</t>
        </is>
      </c>
      <c r="B67" t="inlineStr">
        <is>
          <t>CC900</t>
        </is>
      </c>
      <c r="C67" t="inlineStr">
        <is>
          <t>Corporate</t>
        </is>
      </c>
      <c r="D67" t="inlineStr">
        <is>
          <t>4100</t>
        </is>
      </c>
      <c r="E67" t="inlineStr">
        <is>
          <t>Subscription fees</t>
        </is>
      </c>
      <c r="F67" t="inlineStr">
        <is>
          <t>741600</t>
        </is>
      </c>
    </row>
    <row r="68">
      <c r="A68" t="inlineStr">
        <is>
          <t>2025-05</t>
        </is>
      </c>
      <c r="B68" t="inlineStr">
        <is>
          <t>CC900</t>
        </is>
      </c>
      <c r="C68" t="inlineStr">
        <is>
          <t>Corporate</t>
        </is>
      </c>
      <c r="D68" t="inlineStr">
        <is>
          <t>4200</t>
        </is>
      </c>
      <c r="E68" t="inlineStr">
        <is>
          <t>FX markup</t>
        </is>
      </c>
      <c r="F68" t="inlineStr">
        <is>
          <t>206571</t>
        </is>
      </c>
    </row>
    <row r="69">
      <c r="A69" t="inlineStr">
        <is>
          <t>2025-05</t>
        </is>
      </c>
      <c r="B69" t="inlineStr">
        <is>
          <t>CC900</t>
        </is>
      </c>
      <c r="C69" t="inlineStr">
        <is>
          <t>Corporate</t>
        </is>
      </c>
      <c r="D69" t="inlineStr">
        <is>
          <t>5000</t>
        </is>
      </c>
      <c r="E69" t="inlineStr">
        <is>
          <t>Scheme and interchange costs</t>
        </is>
      </c>
      <c r="F69" t="inlineStr">
        <is>
          <t>1082040</t>
        </is>
      </c>
    </row>
    <row r="70">
      <c r="A70" t="inlineStr">
        <is>
          <t>2025-05</t>
        </is>
      </c>
      <c r="B70" t="inlineStr">
        <is>
          <t>CC900</t>
        </is>
      </c>
      <c r="C70" t="inlineStr">
        <is>
          <t>Corporate</t>
        </is>
      </c>
      <c r="D70" t="inlineStr">
        <is>
          <t>5100</t>
        </is>
      </c>
      <c r="E70" t="inlineStr">
        <is>
          <t>Hosting</t>
        </is>
      </c>
      <c r="F70" t="inlineStr">
        <is>
          <t>113079</t>
        </is>
      </c>
    </row>
    <row r="71">
      <c r="A71" t="inlineStr">
        <is>
          <t>2025-05</t>
        </is>
      </c>
      <c r="B71" t="inlineStr">
        <is>
          <t>CC300</t>
        </is>
      </c>
      <c r="C71" t="inlineStr">
        <is>
          <t>Marketing</t>
        </is>
      </c>
      <c r="D71" t="inlineStr">
        <is>
          <t>6100</t>
        </is>
      </c>
      <c r="E71" t="inlineStr">
        <is>
          <t>Marketing programmes</t>
        </is>
      </c>
      <c r="F71" t="inlineStr">
        <is>
          <t>180000</t>
        </is>
      </c>
    </row>
    <row r="72">
      <c r="A72" t="inlineStr">
        <is>
          <t>2025-05</t>
        </is>
      </c>
      <c r="B72" t="inlineStr">
        <is>
          <t>CC500</t>
        </is>
      </c>
      <c r="C72" t="inlineStr">
        <is>
          <t>General and administrative</t>
        </is>
      </c>
      <c r="D72" t="inlineStr">
        <is>
          <t>6200</t>
        </is>
      </c>
      <c r="E72" t="inlineStr">
        <is>
          <t>Facilities</t>
        </is>
      </c>
      <c r="F72" t="inlineStr">
        <is>
          <t>156880</t>
        </is>
      </c>
    </row>
    <row r="73">
      <c r="A73" t="inlineStr">
        <is>
          <t>2025-05</t>
        </is>
      </c>
      <c r="B73" t="inlineStr">
        <is>
          <t>CC900</t>
        </is>
      </c>
      <c r="C73" t="inlineStr">
        <is>
          <t>Corporate</t>
        </is>
      </c>
      <c r="D73" t="inlineStr">
        <is>
          <t>7000</t>
        </is>
      </c>
      <c r="E73" t="inlineStr">
        <is>
          <t>Depreciation</t>
        </is>
      </c>
      <c r="F73" t="inlineStr">
        <is>
          <t>87772</t>
        </is>
      </c>
    </row>
    <row r="74">
      <c r="A74" t="inlineStr">
        <is>
          <t>2025-05</t>
        </is>
      </c>
      <c r="B74" t="inlineStr">
        <is>
          <t>CC900</t>
        </is>
      </c>
      <c r="C74" t="inlineStr">
        <is>
          <t>Corporate</t>
        </is>
      </c>
      <c r="D74" t="inlineStr">
        <is>
          <t>8000</t>
        </is>
      </c>
      <c r="E74" t="inlineStr">
        <is>
          <t>Interest expense</t>
        </is>
      </c>
      <c r="F74" t="inlineStr">
        <is>
          <t>31667</t>
        </is>
      </c>
    </row>
    <row r="75">
      <c r="A75" t="inlineStr">
        <is>
          <t>2025-05</t>
        </is>
      </c>
      <c r="B75" t="inlineStr">
        <is>
          <t>CC900</t>
        </is>
      </c>
      <c r="C75" t="inlineStr">
        <is>
          <t>Corporate</t>
        </is>
      </c>
      <c r="D75" t="inlineStr">
        <is>
          <t>9000</t>
        </is>
      </c>
      <c r="E75" t="inlineStr">
        <is>
          <t>Income tax</t>
        </is>
      </c>
      <c r="F75" t="inlineStr">
        <is>
          <t>59211</t>
        </is>
      </c>
    </row>
    <row r="76">
      <c r="A76" t="inlineStr">
        <is>
          <t>2025-05</t>
        </is>
      </c>
      <c r="B76" t="inlineStr">
        <is>
          <t>CC100</t>
        </is>
      </c>
      <c r="C76" t="inlineStr">
        <is>
          <t>Engineering</t>
        </is>
      </c>
      <c r="D76" t="inlineStr">
        <is>
          <t>6000</t>
        </is>
      </c>
      <c r="E76" t="inlineStr">
        <is>
          <t>Salaries and wages</t>
        </is>
      </c>
      <c r="F76" t="inlineStr">
        <is>
          <t>554600</t>
        </is>
      </c>
    </row>
    <row r="77">
      <c r="A77" t="inlineStr">
        <is>
          <t>2025-05</t>
        </is>
      </c>
      <c r="B77" t="inlineStr">
        <is>
          <t>CC200</t>
        </is>
      </c>
      <c r="C77" t="inlineStr">
        <is>
          <t>Sales</t>
        </is>
      </c>
      <c r="D77" t="inlineStr">
        <is>
          <t>6000</t>
        </is>
      </c>
      <c r="E77" t="inlineStr">
        <is>
          <t>Salaries and wages</t>
        </is>
      </c>
      <c r="F77" t="inlineStr">
        <is>
          <t>169200</t>
        </is>
      </c>
    </row>
    <row r="78">
      <c r="A78" t="inlineStr">
        <is>
          <t>2025-05</t>
        </is>
      </c>
      <c r="B78" t="inlineStr">
        <is>
          <t>CC300</t>
        </is>
      </c>
      <c r="C78" t="inlineStr">
        <is>
          <t>Marketing</t>
        </is>
      </c>
      <c r="D78" t="inlineStr">
        <is>
          <t>6000</t>
        </is>
      </c>
      <c r="E78" t="inlineStr">
        <is>
          <t>Salaries and wages</t>
        </is>
      </c>
      <c r="F78" t="inlineStr">
        <is>
          <t>71200</t>
        </is>
      </c>
    </row>
    <row r="79">
      <c r="A79" t="inlineStr">
        <is>
          <t>2025-05</t>
        </is>
      </c>
      <c r="B79" t="inlineStr">
        <is>
          <t>CC400</t>
        </is>
      </c>
      <c r="C79" t="inlineStr">
        <is>
          <t>Customer support</t>
        </is>
      </c>
      <c r="D79" t="inlineStr">
        <is>
          <t>6000</t>
        </is>
      </c>
      <c r="E79" t="inlineStr">
        <is>
          <t>Salaries and wages</t>
        </is>
      </c>
      <c r="F79" t="inlineStr">
        <is>
          <t>134400</t>
        </is>
      </c>
    </row>
    <row r="80">
      <c r="A80" t="inlineStr">
        <is>
          <t>2025-05</t>
        </is>
      </c>
      <c r="B80" t="inlineStr">
        <is>
          <t>CC500</t>
        </is>
      </c>
      <c r="C80" t="inlineStr">
        <is>
          <t>General and administrative</t>
        </is>
      </c>
      <c r="D80" t="inlineStr">
        <is>
          <t>6000</t>
        </is>
      </c>
      <c r="E80" t="inlineStr">
        <is>
          <t>Salaries and wages</t>
        </is>
      </c>
      <c r="F80" t="inlineStr">
        <is>
          <t>118300</t>
        </is>
      </c>
    </row>
    <row r="81">
      <c r="A81" t="inlineStr">
        <is>
          <t>2025-05</t>
        </is>
      </c>
      <c r="B81" t="inlineStr">
        <is>
          <t>CC600</t>
        </is>
      </c>
      <c r="C81" t="inlineStr">
        <is>
          <t>New product</t>
        </is>
      </c>
      <c r="D81" t="inlineStr">
        <is>
          <t>6000</t>
        </is>
      </c>
      <c r="E81" t="inlineStr">
        <is>
          <t>Salaries and wages</t>
        </is>
      </c>
      <c r="F81" t="inlineStr">
        <is>
          <t>96000</t>
        </is>
      </c>
    </row>
    <row r="82">
      <c r="A82" t="inlineStr">
        <is>
          <t>2025-06</t>
        </is>
      </c>
      <c r="B82" t="inlineStr">
        <is>
          <t>CC900</t>
        </is>
      </c>
      <c r="C82" t="inlineStr">
        <is>
          <t>Corporate</t>
        </is>
      </c>
      <c r="D82" t="inlineStr">
        <is>
          <t>4000</t>
        </is>
      </c>
      <c r="E82" t="inlineStr">
        <is>
          <t>Transaction fees</t>
        </is>
      </c>
      <c r="F82" t="inlineStr">
        <is>
          <t>2069161</t>
        </is>
      </c>
    </row>
    <row r="83">
      <c r="A83" t="inlineStr">
        <is>
          <t>2025-06</t>
        </is>
      </c>
      <c r="B83" t="inlineStr">
        <is>
          <t>CC900</t>
        </is>
      </c>
      <c r="C83" t="inlineStr">
        <is>
          <t>Corporate</t>
        </is>
      </c>
      <c r="D83" t="inlineStr">
        <is>
          <t>4100</t>
        </is>
      </c>
      <c r="E83" t="inlineStr">
        <is>
          <t>Subscription fees</t>
        </is>
      </c>
      <c r="F83" t="inlineStr">
        <is>
          <t>757800</t>
        </is>
      </c>
    </row>
    <row r="84">
      <c r="A84" t="inlineStr">
        <is>
          <t>2025-06</t>
        </is>
      </c>
      <c r="B84" t="inlineStr">
        <is>
          <t>CC900</t>
        </is>
      </c>
      <c r="C84" t="inlineStr">
        <is>
          <t>Corporate</t>
        </is>
      </c>
      <c r="D84" t="inlineStr">
        <is>
          <t>4200</t>
        </is>
      </c>
      <c r="E84" t="inlineStr">
        <is>
          <t>FX markup</t>
        </is>
      </c>
      <c r="F84" t="inlineStr">
        <is>
          <t>210253</t>
        </is>
      </c>
    </row>
    <row r="85">
      <c r="A85" t="inlineStr">
        <is>
          <t>2025-06</t>
        </is>
      </c>
      <c r="B85" t="inlineStr">
        <is>
          <t>CC900</t>
        </is>
      </c>
      <c r="C85" t="inlineStr">
        <is>
          <t>Corporate</t>
        </is>
      </c>
      <c r="D85" t="inlineStr">
        <is>
          <t>5000</t>
        </is>
      </c>
      <c r="E85" t="inlineStr">
        <is>
          <t>Scheme and interchange costs</t>
        </is>
      </c>
      <c r="F85" t="inlineStr">
        <is>
          <t>1101327</t>
        </is>
      </c>
    </row>
    <row r="86">
      <c r="A86" t="inlineStr">
        <is>
          <t>2025-06</t>
        </is>
      </c>
      <c r="B86" t="inlineStr">
        <is>
          <t>CC900</t>
        </is>
      </c>
      <c r="C86" t="inlineStr">
        <is>
          <t>Corporate</t>
        </is>
      </c>
      <c r="D86" t="inlineStr">
        <is>
          <t>5100</t>
        </is>
      </c>
      <c r="E86" t="inlineStr">
        <is>
          <t>Hosting</t>
        </is>
      </c>
      <c r="F86" t="inlineStr">
        <is>
          <t>115115</t>
        </is>
      </c>
    </row>
    <row r="87">
      <c r="A87" t="inlineStr">
        <is>
          <t>2025-06</t>
        </is>
      </c>
      <c r="B87" t="inlineStr">
        <is>
          <t>CC300</t>
        </is>
      </c>
      <c r="C87" t="inlineStr">
        <is>
          <t>Marketing</t>
        </is>
      </c>
      <c r="D87" t="inlineStr">
        <is>
          <t>6100</t>
        </is>
      </c>
      <c r="E87" t="inlineStr">
        <is>
          <t>Marketing programmes</t>
        </is>
      </c>
      <c r="F87" t="inlineStr">
        <is>
          <t>180000</t>
        </is>
      </c>
    </row>
    <row r="88">
      <c r="A88" t="inlineStr">
        <is>
          <t>2025-06</t>
        </is>
      </c>
      <c r="B88" t="inlineStr">
        <is>
          <t>CC500</t>
        </is>
      </c>
      <c r="C88" t="inlineStr">
        <is>
          <t>General and administrative</t>
        </is>
      </c>
      <c r="D88" t="inlineStr">
        <is>
          <t>6200</t>
        </is>
      </c>
      <c r="E88" t="inlineStr">
        <is>
          <t>Facilities</t>
        </is>
      </c>
      <c r="F88" t="inlineStr">
        <is>
          <t>156880</t>
        </is>
      </c>
    </row>
    <row r="89">
      <c r="A89" t="inlineStr">
        <is>
          <t>2025-06</t>
        </is>
      </c>
      <c r="B89" t="inlineStr">
        <is>
          <t>CC900</t>
        </is>
      </c>
      <c r="C89" t="inlineStr">
        <is>
          <t>Corporate</t>
        </is>
      </c>
      <c r="D89" t="inlineStr">
        <is>
          <t>7000</t>
        </is>
      </c>
      <c r="E89" t="inlineStr">
        <is>
          <t>Depreciation</t>
        </is>
      </c>
      <c r="F89" t="inlineStr">
        <is>
          <t>88529</t>
        </is>
      </c>
    </row>
    <row r="90">
      <c r="A90" t="inlineStr">
        <is>
          <t>2025-06</t>
        </is>
      </c>
      <c r="B90" t="inlineStr">
        <is>
          <t>CC900</t>
        </is>
      </c>
      <c r="C90" t="inlineStr">
        <is>
          <t>Corporate</t>
        </is>
      </c>
      <c r="D90" t="inlineStr">
        <is>
          <t>8000</t>
        </is>
      </c>
      <c r="E90" t="inlineStr">
        <is>
          <t>Interest expense</t>
        </is>
      </c>
      <c r="F90" t="inlineStr">
        <is>
          <t>30677</t>
        </is>
      </c>
    </row>
    <row r="91">
      <c r="A91" t="inlineStr">
        <is>
          <t>2025-06</t>
        </is>
      </c>
      <c r="B91" t="inlineStr">
        <is>
          <t>CC900</t>
        </is>
      </c>
      <c r="C91" t="inlineStr">
        <is>
          <t>Corporate</t>
        </is>
      </c>
      <c r="D91" t="inlineStr">
        <is>
          <t>9000</t>
        </is>
      </c>
      <c r="E91" t="inlineStr">
        <is>
          <t>Income tax</t>
        </is>
      </c>
      <c r="F91" t="inlineStr">
        <is>
          <t>59133</t>
        </is>
      </c>
    </row>
    <row r="92">
      <c r="A92" t="inlineStr">
        <is>
          <t>2025-06</t>
        </is>
      </c>
      <c r="B92" t="inlineStr">
        <is>
          <t>CC100</t>
        </is>
      </c>
      <c r="C92" t="inlineStr">
        <is>
          <t>Engineering</t>
        </is>
      </c>
      <c r="D92" t="inlineStr">
        <is>
          <t>6000</t>
        </is>
      </c>
      <c r="E92" t="inlineStr">
        <is>
          <t>Salaries and wages</t>
        </is>
      </c>
      <c r="F92" t="inlineStr">
        <is>
          <t>590000</t>
        </is>
      </c>
    </row>
    <row r="93">
      <c r="A93" t="inlineStr">
        <is>
          <t>2025-06</t>
        </is>
      </c>
      <c r="B93" t="inlineStr">
        <is>
          <t>CC200</t>
        </is>
      </c>
      <c r="C93" t="inlineStr">
        <is>
          <t>Sales</t>
        </is>
      </c>
      <c r="D93" t="inlineStr">
        <is>
          <t>6000</t>
        </is>
      </c>
      <c r="E93" t="inlineStr">
        <is>
          <t>Salaries and wages</t>
        </is>
      </c>
      <c r="F93" t="inlineStr">
        <is>
          <t>169200</t>
        </is>
      </c>
    </row>
    <row r="94">
      <c r="A94" t="inlineStr">
        <is>
          <t>2025-06</t>
        </is>
      </c>
      <c r="B94" t="inlineStr">
        <is>
          <t>CC300</t>
        </is>
      </c>
      <c r="C94" t="inlineStr">
        <is>
          <t>Marketing</t>
        </is>
      </c>
      <c r="D94" t="inlineStr">
        <is>
          <t>6000</t>
        </is>
      </c>
      <c r="E94" t="inlineStr">
        <is>
          <t>Salaries and wages</t>
        </is>
      </c>
      <c r="F94" t="inlineStr">
        <is>
          <t>71200</t>
        </is>
      </c>
    </row>
    <row r="95">
      <c r="A95" t="inlineStr">
        <is>
          <t>2025-06</t>
        </is>
      </c>
      <c r="B95" t="inlineStr">
        <is>
          <t>CC400</t>
        </is>
      </c>
      <c r="C95" t="inlineStr">
        <is>
          <t>Customer support</t>
        </is>
      </c>
      <c r="D95" t="inlineStr">
        <is>
          <t>6000</t>
        </is>
      </c>
      <c r="E95" t="inlineStr">
        <is>
          <t>Salaries and wages</t>
        </is>
      </c>
      <c r="F95" t="inlineStr">
        <is>
          <t>134400</t>
        </is>
      </c>
    </row>
    <row r="96">
      <c r="A96" t="inlineStr">
        <is>
          <t>2025-06</t>
        </is>
      </c>
      <c r="B96" t="inlineStr">
        <is>
          <t>CC500</t>
        </is>
      </c>
      <c r="C96" t="inlineStr">
        <is>
          <t>General and administrative</t>
        </is>
      </c>
      <c r="D96" t="inlineStr">
        <is>
          <t>6000</t>
        </is>
      </c>
      <c r="E96" t="inlineStr">
        <is>
          <t>Salaries and wages</t>
        </is>
      </c>
      <c r="F96" t="inlineStr">
        <is>
          <t>118300</t>
        </is>
      </c>
    </row>
    <row r="97">
      <c r="A97" t="inlineStr">
        <is>
          <t>2025-06</t>
        </is>
      </c>
      <c r="B97" t="inlineStr">
        <is>
          <t>CC600</t>
        </is>
      </c>
      <c r="C97" t="inlineStr">
        <is>
          <t>New product</t>
        </is>
      </c>
      <c r="D97" t="inlineStr">
        <is>
          <t>6000</t>
        </is>
      </c>
      <c r="E97" t="inlineStr">
        <is>
          <t>Salaries and wages</t>
        </is>
      </c>
      <c r="F97" t="inlineStr">
        <is>
          <t>96000</t>
        </is>
      </c>
    </row>
    <row r="98">
      <c r="A98" t="inlineStr">
        <is>
          <t>2025-07</t>
        </is>
      </c>
      <c r="B98" t="inlineStr">
        <is>
          <t>CC900</t>
        </is>
      </c>
      <c r="C98" t="inlineStr">
        <is>
          <t>Corporate</t>
        </is>
      </c>
      <c r="D98" t="inlineStr">
        <is>
          <t>4000</t>
        </is>
      </c>
      <c r="E98" t="inlineStr">
        <is>
          <t>Transaction fees</t>
        </is>
      </c>
      <c r="F98" t="inlineStr">
        <is>
          <t>2051292</t>
        </is>
      </c>
    </row>
    <row r="99">
      <c r="A99" t="inlineStr">
        <is>
          <t>2025-07</t>
        </is>
      </c>
      <c r="B99" t="inlineStr">
        <is>
          <t>CC900</t>
        </is>
      </c>
      <c r="C99" t="inlineStr">
        <is>
          <t>Corporate</t>
        </is>
      </c>
      <c r="D99" t="inlineStr">
        <is>
          <t>4100</t>
        </is>
      </c>
      <c r="E99" t="inlineStr">
        <is>
          <t>Subscription fees</t>
        </is>
      </c>
      <c r="F99" t="inlineStr">
        <is>
          <t>768600</t>
        </is>
      </c>
    </row>
    <row r="100">
      <c r="A100" t="inlineStr">
        <is>
          <t>2025-07</t>
        </is>
      </c>
      <c r="B100" t="inlineStr">
        <is>
          <t>CC900</t>
        </is>
      </c>
      <c r="C100" t="inlineStr">
        <is>
          <t>Corporate</t>
        </is>
      </c>
      <c r="D100" t="inlineStr">
        <is>
          <t>4200</t>
        </is>
      </c>
      <c r="E100" t="inlineStr">
        <is>
          <t>FX markup</t>
        </is>
      </c>
      <c r="F100" t="inlineStr">
        <is>
          <t>208438</t>
        </is>
      </c>
    </row>
    <row r="101">
      <c r="A101" t="inlineStr">
        <is>
          <t>2025-07</t>
        </is>
      </c>
      <c r="B101" t="inlineStr">
        <is>
          <t>CC900</t>
        </is>
      </c>
      <c r="C101" t="inlineStr">
        <is>
          <t>Corporate</t>
        </is>
      </c>
      <c r="D101" t="inlineStr">
        <is>
          <t>5000</t>
        </is>
      </c>
      <c r="E101" t="inlineStr">
        <is>
          <t>Scheme and interchange costs</t>
        </is>
      </c>
      <c r="F101" t="inlineStr">
        <is>
          <t>1091817</t>
        </is>
      </c>
    </row>
    <row r="102">
      <c r="A102" t="inlineStr">
        <is>
          <t>2025-07</t>
        </is>
      </c>
      <c r="B102" t="inlineStr">
        <is>
          <t>CC900</t>
        </is>
      </c>
      <c r="C102" t="inlineStr">
        <is>
          <t>Corporate</t>
        </is>
      </c>
      <c r="D102" t="inlineStr">
        <is>
          <t>5100</t>
        </is>
      </c>
      <c r="E102" t="inlineStr">
        <is>
          <t>Hosting</t>
        </is>
      </c>
      <c r="F102" t="inlineStr">
        <is>
          <t>117187</t>
        </is>
      </c>
    </row>
    <row r="103">
      <c r="A103" t="inlineStr">
        <is>
          <t>2025-07</t>
        </is>
      </c>
      <c r="B103" t="inlineStr">
        <is>
          <t>CC300</t>
        </is>
      </c>
      <c r="C103" t="inlineStr">
        <is>
          <t>Marketing</t>
        </is>
      </c>
      <c r="D103" t="inlineStr">
        <is>
          <t>6100</t>
        </is>
      </c>
      <c r="E103" t="inlineStr">
        <is>
          <t>Marketing programmes</t>
        </is>
      </c>
      <c r="F103" t="inlineStr">
        <is>
          <t>180000</t>
        </is>
      </c>
    </row>
    <row r="104">
      <c r="A104" t="inlineStr">
        <is>
          <t>2025-07</t>
        </is>
      </c>
      <c r="B104" t="inlineStr">
        <is>
          <t>CC500</t>
        </is>
      </c>
      <c r="C104" t="inlineStr">
        <is>
          <t>General and administrative</t>
        </is>
      </c>
      <c r="D104" t="inlineStr">
        <is>
          <t>6200</t>
        </is>
      </c>
      <c r="E104" t="inlineStr">
        <is>
          <t>Facilities</t>
        </is>
      </c>
      <c r="F104" t="inlineStr">
        <is>
          <t>156880</t>
        </is>
      </c>
    </row>
    <row r="105">
      <c r="A105" t="inlineStr">
        <is>
          <t>2025-07</t>
        </is>
      </c>
      <c r="B105" t="inlineStr">
        <is>
          <t>CC900</t>
        </is>
      </c>
      <c r="C105" t="inlineStr">
        <is>
          <t>Corporate</t>
        </is>
      </c>
      <c r="D105" t="inlineStr">
        <is>
          <t>7000</t>
        </is>
      </c>
      <c r="E105" t="inlineStr">
        <is>
          <t>Depreciation</t>
        </is>
      </c>
      <c r="F105" t="inlineStr">
        <is>
          <t>89269</t>
        </is>
      </c>
    </row>
    <row r="106">
      <c r="A106" t="inlineStr">
        <is>
          <t>2025-07</t>
        </is>
      </c>
      <c r="B106" t="inlineStr">
        <is>
          <t>CC900</t>
        </is>
      </c>
      <c r="C106" t="inlineStr">
        <is>
          <t>Corporate</t>
        </is>
      </c>
      <c r="D106" t="inlineStr">
        <is>
          <t>8000</t>
        </is>
      </c>
      <c r="E106" t="inlineStr">
        <is>
          <t>Interest expense</t>
        </is>
      </c>
      <c r="F106" t="inlineStr">
        <is>
          <t>29688</t>
        </is>
      </c>
    </row>
    <row r="107">
      <c r="A107" t="inlineStr">
        <is>
          <t>2025-07</t>
        </is>
      </c>
      <c r="B107" t="inlineStr">
        <is>
          <t>CC900</t>
        </is>
      </c>
      <c r="C107" t="inlineStr">
        <is>
          <t>Corporate</t>
        </is>
      </c>
      <c r="D107" t="inlineStr">
        <is>
          <t>9000</t>
        </is>
      </c>
      <c r="E107" t="inlineStr">
        <is>
          <t>Income tax</t>
        </is>
      </c>
      <c r="F107" t="inlineStr">
        <is>
          <t>54934</t>
        </is>
      </c>
    </row>
    <row r="108">
      <c r="A108" t="inlineStr">
        <is>
          <t>2025-07</t>
        </is>
      </c>
      <c r="B108" t="inlineStr">
        <is>
          <t>CC100</t>
        </is>
      </c>
      <c r="C108" t="inlineStr">
        <is>
          <t>Engineering</t>
        </is>
      </c>
      <c r="D108" t="inlineStr">
        <is>
          <t>6000</t>
        </is>
      </c>
      <c r="E108" t="inlineStr">
        <is>
          <t>Salaries and wages</t>
        </is>
      </c>
      <c r="F108" t="inlineStr">
        <is>
          <t>590000</t>
        </is>
      </c>
    </row>
    <row r="109">
      <c r="A109" t="inlineStr">
        <is>
          <t>2025-07</t>
        </is>
      </c>
      <c r="B109" t="inlineStr">
        <is>
          <t>CC200</t>
        </is>
      </c>
      <c r="C109" t="inlineStr">
        <is>
          <t>Sales</t>
        </is>
      </c>
      <c r="D109" t="inlineStr">
        <is>
          <t>6000</t>
        </is>
      </c>
      <c r="E109" t="inlineStr">
        <is>
          <t>Salaries and wages</t>
        </is>
      </c>
      <c r="F109" t="inlineStr">
        <is>
          <t>188000</t>
        </is>
      </c>
    </row>
    <row r="110">
      <c r="A110" t="inlineStr">
        <is>
          <t>2025-07</t>
        </is>
      </c>
      <c r="B110" t="inlineStr">
        <is>
          <t>CC300</t>
        </is>
      </c>
      <c r="C110" t="inlineStr">
        <is>
          <t>Marketing</t>
        </is>
      </c>
      <c r="D110" t="inlineStr">
        <is>
          <t>6000</t>
        </is>
      </c>
      <c r="E110" t="inlineStr">
        <is>
          <t>Salaries and wages</t>
        </is>
      </c>
      <c r="F110" t="inlineStr">
        <is>
          <t>71200</t>
        </is>
      </c>
    </row>
    <row r="111">
      <c r="A111" t="inlineStr">
        <is>
          <t>2025-07</t>
        </is>
      </c>
      <c r="B111" t="inlineStr">
        <is>
          <t>CC400</t>
        </is>
      </c>
      <c r="C111" t="inlineStr">
        <is>
          <t>Customer support</t>
        </is>
      </c>
      <c r="D111" t="inlineStr">
        <is>
          <t>6000</t>
        </is>
      </c>
      <c r="E111" t="inlineStr">
        <is>
          <t>Salaries and wages</t>
        </is>
      </c>
      <c r="F111" t="inlineStr">
        <is>
          <t>134400</t>
        </is>
      </c>
    </row>
    <row r="112">
      <c r="A112" t="inlineStr">
        <is>
          <t>2025-07</t>
        </is>
      </c>
      <c r="B112" t="inlineStr">
        <is>
          <t>CC500</t>
        </is>
      </c>
      <c r="C112" t="inlineStr">
        <is>
          <t>General and administrative</t>
        </is>
      </c>
      <c r="D112" t="inlineStr">
        <is>
          <t>6000</t>
        </is>
      </c>
      <c r="E112" t="inlineStr">
        <is>
          <t>Salaries and wages</t>
        </is>
      </c>
      <c r="F112" t="inlineStr">
        <is>
          <t>118300</t>
        </is>
      </c>
    </row>
    <row r="113">
      <c r="A113" t="inlineStr">
        <is>
          <t>2025-07</t>
        </is>
      </c>
      <c r="B113" t="inlineStr">
        <is>
          <t>CC600</t>
        </is>
      </c>
      <c r="C113" t="inlineStr">
        <is>
          <t>New product</t>
        </is>
      </c>
      <c r="D113" t="inlineStr">
        <is>
          <t>6000</t>
        </is>
      </c>
      <c r="E113" t="inlineStr">
        <is>
          <t>Salaries and wages</t>
        </is>
      </c>
      <c r="F113" t="inlineStr">
        <is>
          <t>96000</t>
        </is>
      </c>
    </row>
    <row r="114">
      <c r="A114" t="inlineStr">
        <is>
          <t>2025-08</t>
        </is>
      </c>
      <c r="B114" t="inlineStr">
        <is>
          <t>CC900</t>
        </is>
      </c>
      <c r="C114" t="inlineStr">
        <is>
          <t>Corporate</t>
        </is>
      </c>
      <c r="D114" t="inlineStr">
        <is>
          <t>4000</t>
        </is>
      </c>
      <c r="E114" t="inlineStr">
        <is>
          <t>Transaction fees</t>
        </is>
      </c>
      <c r="F114" t="inlineStr">
        <is>
          <t>2079160</t>
        </is>
      </c>
    </row>
    <row r="115">
      <c r="A115" t="inlineStr">
        <is>
          <t>2025-08</t>
        </is>
      </c>
      <c r="B115" t="inlineStr">
        <is>
          <t>CC900</t>
        </is>
      </c>
      <c r="C115" t="inlineStr">
        <is>
          <t>Corporate</t>
        </is>
      </c>
      <c r="D115" t="inlineStr">
        <is>
          <t>4100</t>
        </is>
      </c>
      <c r="E115" t="inlineStr">
        <is>
          <t>Subscription fees</t>
        </is>
      </c>
      <c r="F115" t="inlineStr">
        <is>
          <t>788400</t>
        </is>
      </c>
    </row>
    <row r="116">
      <c r="A116" t="inlineStr">
        <is>
          <t>2025-08</t>
        </is>
      </c>
      <c r="B116" t="inlineStr">
        <is>
          <t>CC900</t>
        </is>
      </c>
      <c r="C116" t="inlineStr">
        <is>
          <t>Corporate</t>
        </is>
      </c>
      <c r="D116" t="inlineStr">
        <is>
          <t>4200</t>
        </is>
      </c>
      <c r="E116" t="inlineStr">
        <is>
          <t>FX markup</t>
        </is>
      </c>
      <c r="F116" t="inlineStr">
        <is>
          <t>211269</t>
        </is>
      </c>
    </row>
    <row r="117">
      <c r="A117" t="inlineStr">
        <is>
          <t>2025-08</t>
        </is>
      </c>
      <c r="B117" t="inlineStr">
        <is>
          <t>CC900</t>
        </is>
      </c>
      <c r="C117" t="inlineStr">
        <is>
          <t>Corporate</t>
        </is>
      </c>
      <c r="D117" t="inlineStr">
        <is>
          <t>5000</t>
        </is>
      </c>
      <c r="E117" t="inlineStr">
        <is>
          <t>Scheme and interchange costs</t>
        </is>
      </c>
      <c r="F117" t="inlineStr">
        <is>
          <t>1106649</t>
        </is>
      </c>
    </row>
    <row r="118">
      <c r="A118" t="inlineStr">
        <is>
          <t>2025-08</t>
        </is>
      </c>
      <c r="B118" t="inlineStr">
        <is>
          <t>CC900</t>
        </is>
      </c>
      <c r="C118" t="inlineStr">
        <is>
          <t>Corporate</t>
        </is>
      </c>
      <c r="D118" t="inlineStr">
        <is>
          <t>5100</t>
        </is>
      </c>
      <c r="E118" t="inlineStr">
        <is>
          <t>Hosting</t>
        </is>
      </c>
      <c r="F118" t="inlineStr">
        <is>
          <t>119296</t>
        </is>
      </c>
    </row>
    <row r="119">
      <c r="A119" t="inlineStr">
        <is>
          <t>2025-08</t>
        </is>
      </c>
      <c r="B119" t="inlineStr">
        <is>
          <t>CC300</t>
        </is>
      </c>
      <c r="C119" t="inlineStr">
        <is>
          <t>Marketing</t>
        </is>
      </c>
      <c r="D119" t="inlineStr">
        <is>
          <t>6100</t>
        </is>
      </c>
      <c r="E119" t="inlineStr">
        <is>
          <t>Marketing programmes</t>
        </is>
      </c>
      <c r="F119" t="inlineStr">
        <is>
          <t>180000</t>
        </is>
      </c>
    </row>
    <row r="120">
      <c r="A120" t="inlineStr">
        <is>
          <t>2025-08</t>
        </is>
      </c>
      <c r="B120" t="inlineStr">
        <is>
          <t>CC500</t>
        </is>
      </c>
      <c r="C120" t="inlineStr">
        <is>
          <t>General and administrative</t>
        </is>
      </c>
      <c r="D120" t="inlineStr">
        <is>
          <t>6200</t>
        </is>
      </c>
      <c r="E120" t="inlineStr">
        <is>
          <t>Facilities</t>
        </is>
      </c>
      <c r="F120" t="inlineStr">
        <is>
          <t>156880</t>
        </is>
      </c>
    </row>
    <row r="121">
      <c r="A121" t="inlineStr">
        <is>
          <t>2025-08</t>
        </is>
      </c>
      <c r="B121" t="inlineStr">
        <is>
          <t>CC900</t>
        </is>
      </c>
      <c r="C121" t="inlineStr">
        <is>
          <t>Corporate</t>
        </is>
      </c>
      <c r="D121" t="inlineStr">
        <is>
          <t>7000</t>
        </is>
      </c>
      <c r="E121" t="inlineStr">
        <is>
          <t>Depreciation</t>
        </is>
      </c>
      <c r="F121" t="inlineStr">
        <is>
          <t>89991</t>
        </is>
      </c>
    </row>
    <row r="122">
      <c r="A122" t="inlineStr">
        <is>
          <t>2025-08</t>
        </is>
      </c>
      <c r="B122" t="inlineStr">
        <is>
          <t>CC900</t>
        </is>
      </c>
      <c r="C122" t="inlineStr">
        <is>
          <t>Corporate</t>
        </is>
      </c>
      <c r="D122" t="inlineStr">
        <is>
          <t>8000</t>
        </is>
      </c>
      <c r="E122" t="inlineStr">
        <is>
          <t>Interest expense</t>
        </is>
      </c>
      <c r="F122" t="inlineStr">
        <is>
          <t>28698</t>
        </is>
      </c>
    </row>
    <row r="123">
      <c r="A123" t="inlineStr">
        <is>
          <t>2025-08</t>
        </is>
      </c>
      <c r="B123" t="inlineStr">
        <is>
          <t>CC900</t>
        </is>
      </c>
      <c r="C123" t="inlineStr">
        <is>
          <t>Corporate</t>
        </is>
      </c>
      <c r="D123" t="inlineStr">
        <is>
          <t>9000</t>
        </is>
      </c>
      <c r="E123" t="inlineStr">
        <is>
          <t>Income tax</t>
        </is>
      </c>
      <c r="F123" t="inlineStr">
        <is>
          <t>58509</t>
        </is>
      </c>
    </row>
    <row r="124">
      <c r="A124" t="inlineStr">
        <is>
          <t>2025-08</t>
        </is>
      </c>
      <c r="B124" t="inlineStr">
        <is>
          <t>CC100</t>
        </is>
      </c>
      <c r="C124" t="inlineStr">
        <is>
          <t>Engineering</t>
        </is>
      </c>
      <c r="D124" t="inlineStr">
        <is>
          <t>6000</t>
        </is>
      </c>
      <c r="E124" t="inlineStr">
        <is>
          <t>Salaries and wages</t>
        </is>
      </c>
      <c r="F124" t="inlineStr">
        <is>
          <t>590000</t>
        </is>
      </c>
    </row>
    <row r="125">
      <c r="A125" t="inlineStr">
        <is>
          <t>2025-08</t>
        </is>
      </c>
      <c r="B125" t="inlineStr">
        <is>
          <t>CC200</t>
        </is>
      </c>
      <c r="C125" t="inlineStr">
        <is>
          <t>Sales</t>
        </is>
      </c>
      <c r="D125" t="inlineStr">
        <is>
          <t>6000</t>
        </is>
      </c>
      <c r="E125" t="inlineStr">
        <is>
          <t>Salaries and wages</t>
        </is>
      </c>
      <c r="F125" t="inlineStr">
        <is>
          <t>188000</t>
        </is>
      </c>
    </row>
    <row r="126">
      <c r="A126" t="inlineStr">
        <is>
          <t>2025-08</t>
        </is>
      </c>
      <c r="B126" t="inlineStr">
        <is>
          <t>CC300</t>
        </is>
      </c>
      <c r="C126" t="inlineStr">
        <is>
          <t>Marketing</t>
        </is>
      </c>
      <c r="D126" t="inlineStr">
        <is>
          <t>6000</t>
        </is>
      </c>
      <c r="E126" t="inlineStr">
        <is>
          <t>Salaries and wages</t>
        </is>
      </c>
      <c r="F126" t="inlineStr">
        <is>
          <t>71200</t>
        </is>
      </c>
    </row>
    <row r="127">
      <c r="A127" t="inlineStr">
        <is>
          <t>2025-08</t>
        </is>
      </c>
      <c r="B127" t="inlineStr">
        <is>
          <t>CC400</t>
        </is>
      </c>
      <c r="C127" t="inlineStr">
        <is>
          <t>Customer support</t>
        </is>
      </c>
      <c r="D127" t="inlineStr">
        <is>
          <t>6000</t>
        </is>
      </c>
      <c r="E127" t="inlineStr">
        <is>
          <t>Salaries and wages</t>
        </is>
      </c>
      <c r="F127" t="inlineStr">
        <is>
          <t>151200</t>
        </is>
      </c>
    </row>
    <row r="128">
      <c r="A128" t="inlineStr">
        <is>
          <t>2025-08</t>
        </is>
      </c>
      <c r="B128" t="inlineStr">
        <is>
          <t>CC500</t>
        </is>
      </c>
      <c r="C128" t="inlineStr">
        <is>
          <t>General and administrative</t>
        </is>
      </c>
      <c r="D128" t="inlineStr">
        <is>
          <t>6000</t>
        </is>
      </c>
      <c r="E128" t="inlineStr">
        <is>
          <t>Salaries and wages</t>
        </is>
      </c>
      <c r="F128" t="inlineStr">
        <is>
          <t>118300</t>
        </is>
      </c>
    </row>
    <row r="129">
      <c r="A129" t="inlineStr">
        <is>
          <t>2025-08</t>
        </is>
      </c>
      <c r="B129" t="inlineStr">
        <is>
          <t>CC600</t>
        </is>
      </c>
      <c r="C129" t="inlineStr">
        <is>
          <t>New product</t>
        </is>
      </c>
      <c r="D129" t="inlineStr">
        <is>
          <t>6000</t>
        </is>
      </c>
      <c r="E129" t="inlineStr">
        <is>
          <t>Salaries and wages</t>
        </is>
      </c>
      <c r="F129" t="inlineStr">
        <is>
          <t>96000</t>
        </is>
      </c>
    </row>
    <row r="130">
      <c r="A130" t="inlineStr">
        <is>
          <t>2025-09</t>
        </is>
      </c>
      <c r="B130" t="inlineStr">
        <is>
          <t>CC900</t>
        </is>
      </c>
      <c r="C130" t="inlineStr">
        <is>
          <t>Corporate</t>
        </is>
      </c>
      <c r="D130" t="inlineStr">
        <is>
          <t>4000</t>
        </is>
      </c>
      <c r="E130" t="inlineStr">
        <is>
          <t>Transaction fees</t>
        </is>
      </c>
      <c r="F130" t="inlineStr">
        <is>
          <t>2196195</t>
        </is>
      </c>
    </row>
    <row r="131">
      <c r="A131" t="inlineStr">
        <is>
          <t>2025-09</t>
        </is>
      </c>
      <c r="B131" t="inlineStr">
        <is>
          <t>CC900</t>
        </is>
      </c>
      <c r="C131" t="inlineStr">
        <is>
          <t>Corporate</t>
        </is>
      </c>
      <c r="D131" t="inlineStr">
        <is>
          <t>4100</t>
        </is>
      </c>
      <c r="E131" t="inlineStr">
        <is>
          <t>Subscription fees</t>
        </is>
      </c>
      <c r="F131" t="inlineStr">
        <is>
          <t>801000</t>
        </is>
      </c>
    </row>
    <row r="132">
      <c r="A132" t="inlineStr">
        <is>
          <t>2025-09</t>
        </is>
      </c>
      <c r="B132" t="inlineStr">
        <is>
          <t>CC900</t>
        </is>
      </c>
      <c r="C132" t="inlineStr">
        <is>
          <t>Corporate</t>
        </is>
      </c>
      <c r="D132" t="inlineStr">
        <is>
          <t>4200</t>
        </is>
      </c>
      <c r="E132" t="inlineStr">
        <is>
          <t>FX markup</t>
        </is>
      </c>
      <c r="F132" t="inlineStr">
        <is>
          <t>223162</t>
        </is>
      </c>
    </row>
    <row r="133">
      <c r="A133" t="inlineStr">
        <is>
          <t>2025-09</t>
        </is>
      </c>
      <c r="B133" t="inlineStr">
        <is>
          <t>CC900</t>
        </is>
      </c>
      <c r="C133" t="inlineStr">
        <is>
          <t>Corporate</t>
        </is>
      </c>
      <c r="D133" t="inlineStr">
        <is>
          <t>5000</t>
        </is>
      </c>
      <c r="E133" t="inlineStr">
        <is>
          <t>Scheme and interchange costs</t>
        </is>
      </c>
      <c r="F133" t="inlineStr">
        <is>
          <t>1168942</t>
        </is>
      </c>
    </row>
    <row r="134">
      <c r="A134" t="inlineStr">
        <is>
          <t>2025-09</t>
        </is>
      </c>
      <c r="B134" t="inlineStr">
        <is>
          <t>CC900</t>
        </is>
      </c>
      <c r="C134" t="inlineStr">
        <is>
          <t>Corporate</t>
        </is>
      </c>
      <c r="D134" t="inlineStr">
        <is>
          <t>5100</t>
        </is>
      </c>
      <c r="E134" t="inlineStr">
        <is>
          <t>Hosting</t>
        </is>
      </c>
      <c r="F134" t="inlineStr">
        <is>
          <t>121444</t>
        </is>
      </c>
    </row>
    <row r="135">
      <c r="A135" t="inlineStr">
        <is>
          <t>2025-09</t>
        </is>
      </c>
      <c r="B135" t="inlineStr">
        <is>
          <t>CC300</t>
        </is>
      </c>
      <c r="C135" t="inlineStr">
        <is>
          <t>Marketing</t>
        </is>
      </c>
      <c r="D135" t="inlineStr">
        <is>
          <t>6100</t>
        </is>
      </c>
      <c r="E135" t="inlineStr">
        <is>
          <t>Marketing programmes</t>
        </is>
      </c>
      <c r="F135" t="inlineStr">
        <is>
          <t>180000</t>
        </is>
      </c>
    </row>
    <row r="136">
      <c r="A136" t="inlineStr">
        <is>
          <t>2025-09</t>
        </is>
      </c>
      <c r="B136" t="inlineStr">
        <is>
          <t>CC500</t>
        </is>
      </c>
      <c r="C136" t="inlineStr">
        <is>
          <t>General and administrative</t>
        </is>
      </c>
      <c r="D136" t="inlineStr">
        <is>
          <t>6200</t>
        </is>
      </c>
      <c r="E136" t="inlineStr">
        <is>
          <t>Facilities</t>
        </is>
      </c>
      <c r="F136" t="inlineStr">
        <is>
          <t>156880</t>
        </is>
      </c>
    </row>
    <row r="137">
      <c r="A137" t="inlineStr">
        <is>
          <t>2025-09</t>
        </is>
      </c>
      <c r="B137" t="inlineStr">
        <is>
          <t>CC900</t>
        </is>
      </c>
      <c r="C137" t="inlineStr">
        <is>
          <t>Corporate</t>
        </is>
      </c>
      <c r="D137" t="inlineStr">
        <is>
          <t>7000</t>
        </is>
      </c>
      <c r="E137" t="inlineStr">
        <is>
          <t>Depreciation</t>
        </is>
      </c>
      <c r="F137" t="inlineStr">
        <is>
          <t>90696</t>
        </is>
      </c>
    </row>
    <row r="138">
      <c r="A138" t="inlineStr">
        <is>
          <t>2025-09</t>
        </is>
      </c>
      <c r="B138" t="inlineStr">
        <is>
          <t>CC900</t>
        </is>
      </c>
      <c r="C138" t="inlineStr">
        <is>
          <t>Corporate</t>
        </is>
      </c>
      <c r="D138" t="inlineStr">
        <is>
          <t>8000</t>
        </is>
      </c>
      <c r="E138" t="inlineStr">
        <is>
          <t>Interest expense</t>
        </is>
      </c>
      <c r="F138" t="inlineStr">
        <is>
          <t>27708</t>
        </is>
      </c>
    </row>
    <row r="139">
      <c r="A139" t="inlineStr">
        <is>
          <t>2025-09</t>
        </is>
      </c>
      <c r="B139" t="inlineStr">
        <is>
          <t>CC900</t>
        </is>
      </c>
      <c r="C139" t="inlineStr">
        <is>
          <t>Corporate</t>
        </is>
      </c>
      <c r="D139" t="inlineStr">
        <is>
          <t>9000</t>
        </is>
      </c>
      <c r="E139" t="inlineStr">
        <is>
          <t>Income tax</t>
        </is>
      </c>
      <c r="F139" t="inlineStr">
        <is>
          <t>74757</t>
        </is>
      </c>
    </row>
    <row r="140">
      <c r="A140" t="inlineStr">
        <is>
          <t>2025-09</t>
        </is>
      </c>
      <c r="B140" t="inlineStr">
        <is>
          <t>CC100</t>
        </is>
      </c>
      <c r="C140" t="inlineStr">
        <is>
          <t>Engineering</t>
        </is>
      </c>
      <c r="D140" t="inlineStr">
        <is>
          <t>6000</t>
        </is>
      </c>
      <c r="E140" t="inlineStr">
        <is>
          <t>Salaries and wages</t>
        </is>
      </c>
      <c r="F140" t="inlineStr">
        <is>
          <t>590000</t>
        </is>
      </c>
    </row>
    <row r="141">
      <c r="A141" t="inlineStr">
        <is>
          <t>2025-09</t>
        </is>
      </c>
      <c r="B141" t="inlineStr">
        <is>
          <t>CC200</t>
        </is>
      </c>
      <c r="C141" t="inlineStr">
        <is>
          <t>Sales</t>
        </is>
      </c>
      <c r="D141" t="inlineStr">
        <is>
          <t>6000</t>
        </is>
      </c>
      <c r="E141" t="inlineStr">
        <is>
          <t>Salaries and wages</t>
        </is>
      </c>
      <c r="F141" t="inlineStr">
        <is>
          <t>188000</t>
        </is>
      </c>
    </row>
    <row r="142">
      <c r="A142" t="inlineStr">
        <is>
          <t>2025-09</t>
        </is>
      </c>
      <c r="B142" t="inlineStr">
        <is>
          <t>CC300</t>
        </is>
      </c>
      <c r="C142" t="inlineStr">
        <is>
          <t>Marketing</t>
        </is>
      </c>
      <c r="D142" t="inlineStr">
        <is>
          <t>6000</t>
        </is>
      </c>
      <c r="E142" t="inlineStr">
        <is>
          <t>Salaries and wages</t>
        </is>
      </c>
      <c r="F142" t="inlineStr">
        <is>
          <t>71200</t>
        </is>
      </c>
    </row>
    <row r="143">
      <c r="A143" t="inlineStr">
        <is>
          <t>2025-09</t>
        </is>
      </c>
      <c r="B143" t="inlineStr">
        <is>
          <t>CC400</t>
        </is>
      </c>
      <c r="C143" t="inlineStr">
        <is>
          <t>Customer support</t>
        </is>
      </c>
      <c r="D143" t="inlineStr">
        <is>
          <t>6000</t>
        </is>
      </c>
      <c r="E143" t="inlineStr">
        <is>
          <t>Salaries and wages</t>
        </is>
      </c>
      <c r="F143" t="inlineStr">
        <is>
          <t>151200</t>
        </is>
      </c>
    </row>
    <row r="144">
      <c r="A144" t="inlineStr">
        <is>
          <t>2025-09</t>
        </is>
      </c>
      <c r="B144" t="inlineStr">
        <is>
          <t>CC500</t>
        </is>
      </c>
      <c r="C144" t="inlineStr">
        <is>
          <t>General and administrative</t>
        </is>
      </c>
      <c r="D144" t="inlineStr">
        <is>
          <t>6000</t>
        </is>
      </c>
      <c r="E144" t="inlineStr">
        <is>
          <t>Salaries and wages</t>
        </is>
      </c>
      <c r="F144" t="inlineStr">
        <is>
          <t>118300</t>
        </is>
      </c>
    </row>
    <row r="145">
      <c r="A145" t="inlineStr">
        <is>
          <t>2025-09</t>
        </is>
      </c>
      <c r="B145" t="inlineStr">
        <is>
          <t>CC600</t>
        </is>
      </c>
      <c r="C145" t="inlineStr">
        <is>
          <t>New product</t>
        </is>
      </c>
      <c r="D145" t="inlineStr">
        <is>
          <t>6000</t>
        </is>
      </c>
      <c r="E145" t="inlineStr">
        <is>
          <t>Salaries and wages</t>
        </is>
      </c>
      <c r="F145" t="inlineStr">
        <is>
          <t>96000</t>
        </is>
      </c>
    </row>
    <row r="146">
      <c r="A146" t="inlineStr">
        <is>
          <t>2025-10</t>
        </is>
      </c>
      <c r="B146" t="inlineStr">
        <is>
          <t>CC900</t>
        </is>
      </c>
      <c r="C146" t="inlineStr">
        <is>
          <t>Corporate</t>
        </is>
      </c>
      <c r="D146" t="inlineStr">
        <is>
          <t>4000</t>
        </is>
      </c>
      <c r="E146" t="inlineStr">
        <is>
          <t>Transaction fees</t>
        </is>
      </c>
      <c r="F146" t="inlineStr">
        <is>
          <t>2316787</t>
        </is>
      </c>
    </row>
    <row r="147">
      <c r="A147" t="inlineStr">
        <is>
          <t>2025-10</t>
        </is>
      </c>
      <c r="B147" t="inlineStr">
        <is>
          <t>CC900</t>
        </is>
      </c>
      <c r="C147" t="inlineStr">
        <is>
          <t>Corporate</t>
        </is>
      </c>
      <c r="D147" t="inlineStr">
        <is>
          <t>4100</t>
        </is>
      </c>
      <c r="E147" t="inlineStr">
        <is>
          <t>Subscription fees</t>
        </is>
      </c>
      <c r="F147" t="inlineStr">
        <is>
          <t>819000</t>
        </is>
      </c>
    </row>
    <row r="148">
      <c r="A148" t="inlineStr">
        <is>
          <t>2025-10</t>
        </is>
      </c>
      <c r="B148" t="inlineStr">
        <is>
          <t>CC900</t>
        </is>
      </c>
      <c r="C148" t="inlineStr">
        <is>
          <t>Corporate</t>
        </is>
      </c>
      <c r="D148" t="inlineStr">
        <is>
          <t>4200</t>
        </is>
      </c>
      <c r="E148" t="inlineStr">
        <is>
          <t>FX markup</t>
        </is>
      </c>
      <c r="F148" t="inlineStr">
        <is>
          <t>235415</t>
        </is>
      </c>
    </row>
    <row r="149">
      <c r="A149" t="inlineStr">
        <is>
          <t>2025-10</t>
        </is>
      </c>
      <c r="B149" t="inlineStr">
        <is>
          <t>CC900</t>
        </is>
      </c>
      <c r="C149" t="inlineStr">
        <is>
          <t>Corporate</t>
        </is>
      </c>
      <c r="D149" t="inlineStr">
        <is>
          <t>5000</t>
        </is>
      </c>
      <c r="E149" t="inlineStr">
        <is>
          <t>Scheme and interchange costs</t>
        </is>
      </c>
      <c r="F149" t="inlineStr">
        <is>
          <t>1233128</t>
        </is>
      </c>
    </row>
    <row r="150">
      <c r="A150" t="inlineStr">
        <is>
          <t>2025-10</t>
        </is>
      </c>
      <c r="B150" t="inlineStr">
        <is>
          <t>CC900</t>
        </is>
      </c>
      <c r="C150" t="inlineStr">
        <is>
          <t>Corporate</t>
        </is>
      </c>
      <c r="D150" t="inlineStr">
        <is>
          <t>5100</t>
        </is>
      </c>
      <c r="E150" t="inlineStr">
        <is>
          <t>Hosting</t>
        </is>
      </c>
      <c r="F150" t="inlineStr">
        <is>
          <t>123630</t>
        </is>
      </c>
    </row>
    <row r="151">
      <c r="A151" t="inlineStr">
        <is>
          <t>2025-10</t>
        </is>
      </c>
      <c r="B151" t="inlineStr">
        <is>
          <t>CC300</t>
        </is>
      </c>
      <c r="C151" t="inlineStr">
        <is>
          <t>Marketing</t>
        </is>
      </c>
      <c r="D151" t="inlineStr">
        <is>
          <t>6100</t>
        </is>
      </c>
      <c r="E151" t="inlineStr">
        <is>
          <t>Marketing programmes</t>
        </is>
      </c>
      <c r="F151" t="inlineStr">
        <is>
          <t>240000</t>
        </is>
      </c>
    </row>
    <row r="152">
      <c r="A152" t="inlineStr">
        <is>
          <t>2025-10</t>
        </is>
      </c>
      <c r="B152" t="inlineStr">
        <is>
          <t>CC500</t>
        </is>
      </c>
      <c r="C152" t="inlineStr">
        <is>
          <t>General and administrative</t>
        </is>
      </c>
      <c r="D152" t="inlineStr">
        <is>
          <t>6200</t>
        </is>
      </c>
      <c r="E152" t="inlineStr">
        <is>
          <t>Facilities</t>
        </is>
      </c>
      <c r="F152" t="inlineStr">
        <is>
          <t>156880</t>
        </is>
      </c>
    </row>
    <row r="153">
      <c r="A153" t="inlineStr">
        <is>
          <t>2025-10</t>
        </is>
      </c>
      <c r="B153" t="inlineStr">
        <is>
          <t>CC900</t>
        </is>
      </c>
      <c r="C153" t="inlineStr">
        <is>
          <t>Corporate</t>
        </is>
      </c>
      <c r="D153" t="inlineStr">
        <is>
          <t>7000</t>
        </is>
      </c>
      <c r="E153" t="inlineStr">
        <is>
          <t>Depreciation</t>
        </is>
      </c>
      <c r="F153" t="inlineStr">
        <is>
          <t>91385</t>
        </is>
      </c>
    </row>
    <row r="154">
      <c r="A154" t="inlineStr">
        <is>
          <t>2025-10</t>
        </is>
      </c>
      <c r="B154" t="inlineStr">
        <is>
          <t>CC900</t>
        </is>
      </c>
      <c r="C154" t="inlineStr">
        <is>
          <t>Corporate</t>
        </is>
      </c>
      <c r="D154" t="inlineStr">
        <is>
          <t>8000</t>
        </is>
      </c>
      <c r="E154" t="inlineStr">
        <is>
          <t>Interest expense</t>
        </is>
      </c>
      <c r="F154" t="inlineStr">
        <is>
          <t>26719</t>
        </is>
      </c>
    </row>
    <row r="155">
      <c r="A155" t="inlineStr">
        <is>
          <t>2025-10</t>
        </is>
      </c>
      <c r="B155" t="inlineStr">
        <is>
          <t>CC900</t>
        </is>
      </c>
      <c r="C155" t="inlineStr">
        <is>
          <t>Corporate</t>
        </is>
      </c>
      <c r="D155" t="inlineStr">
        <is>
          <t>9000</t>
        </is>
      </c>
      <c r="E155" t="inlineStr">
        <is>
          <t>Income tax</t>
        </is>
      </c>
      <c r="F155" t="inlineStr">
        <is>
          <t>79960</t>
        </is>
      </c>
    </row>
    <row r="156">
      <c r="A156" t="inlineStr">
        <is>
          <t>2025-10</t>
        </is>
      </c>
      <c r="B156" t="inlineStr">
        <is>
          <t>CC100</t>
        </is>
      </c>
      <c r="C156" t="inlineStr">
        <is>
          <t>Engineering</t>
        </is>
      </c>
      <c r="D156" t="inlineStr">
        <is>
          <t>6000</t>
        </is>
      </c>
      <c r="E156" t="inlineStr">
        <is>
          <t>Salaries and wages</t>
        </is>
      </c>
      <c r="F156" t="inlineStr">
        <is>
          <t>590000</t>
        </is>
      </c>
    </row>
    <row r="157">
      <c r="A157" t="inlineStr">
        <is>
          <t>2025-10</t>
        </is>
      </c>
      <c r="B157" t="inlineStr">
        <is>
          <t>CC200</t>
        </is>
      </c>
      <c r="C157" t="inlineStr">
        <is>
          <t>Sales</t>
        </is>
      </c>
      <c r="D157" t="inlineStr">
        <is>
          <t>6000</t>
        </is>
      </c>
      <c r="E157" t="inlineStr">
        <is>
          <t>Salaries and wages</t>
        </is>
      </c>
      <c r="F157" t="inlineStr">
        <is>
          <t>188000</t>
        </is>
      </c>
    </row>
    <row r="158">
      <c r="A158" t="inlineStr">
        <is>
          <t>2025-10</t>
        </is>
      </c>
      <c r="B158" t="inlineStr">
        <is>
          <t>CC300</t>
        </is>
      </c>
      <c r="C158" t="inlineStr">
        <is>
          <t>Marketing</t>
        </is>
      </c>
      <c r="D158" t="inlineStr">
        <is>
          <t>6000</t>
        </is>
      </c>
      <c r="E158" t="inlineStr">
        <is>
          <t>Salaries and wages</t>
        </is>
      </c>
      <c r="F158" t="inlineStr">
        <is>
          <t>71200</t>
        </is>
      </c>
    </row>
    <row r="159">
      <c r="A159" t="inlineStr">
        <is>
          <t>2025-10</t>
        </is>
      </c>
      <c r="B159" t="inlineStr">
        <is>
          <t>CC400</t>
        </is>
      </c>
      <c r="C159" t="inlineStr">
        <is>
          <t>Customer support</t>
        </is>
      </c>
      <c r="D159" t="inlineStr">
        <is>
          <t>6000</t>
        </is>
      </c>
      <c r="E159" t="inlineStr">
        <is>
          <t>Salaries and wages</t>
        </is>
      </c>
      <c r="F159" t="inlineStr">
        <is>
          <t>151200</t>
        </is>
      </c>
    </row>
    <row r="160">
      <c r="A160" t="inlineStr">
        <is>
          <t>2025-10</t>
        </is>
      </c>
      <c r="B160" t="inlineStr">
        <is>
          <t>CC500</t>
        </is>
      </c>
      <c r="C160" t="inlineStr">
        <is>
          <t>General and administrative</t>
        </is>
      </c>
      <c r="D160" t="inlineStr">
        <is>
          <t>6000</t>
        </is>
      </c>
      <c r="E160" t="inlineStr">
        <is>
          <t>Salaries and wages</t>
        </is>
      </c>
      <c r="F160" t="inlineStr">
        <is>
          <t>118300</t>
        </is>
      </c>
    </row>
    <row r="161">
      <c r="A161" t="inlineStr">
        <is>
          <t>2025-10</t>
        </is>
      </c>
      <c r="B161" t="inlineStr">
        <is>
          <t>CC600</t>
        </is>
      </c>
      <c r="C161" t="inlineStr">
        <is>
          <t>New product</t>
        </is>
      </c>
      <c r="D161" t="inlineStr">
        <is>
          <t>6000</t>
        </is>
      </c>
      <c r="E161" t="inlineStr">
        <is>
          <t>Salaries and wages</t>
        </is>
      </c>
      <c r="F161" t="inlineStr">
        <is>
          <t>96000</t>
        </is>
      </c>
    </row>
    <row r="162">
      <c r="A162" t="inlineStr">
        <is>
          <t>2025-11</t>
        </is>
      </c>
      <c r="B162" t="inlineStr">
        <is>
          <t>CC900</t>
        </is>
      </c>
      <c r="C162" t="inlineStr">
        <is>
          <t>Corporate</t>
        </is>
      </c>
      <c r="D162" t="inlineStr">
        <is>
          <t>4000</t>
        </is>
      </c>
      <c r="E162" t="inlineStr">
        <is>
          <t>Transaction fees</t>
        </is>
      </c>
      <c r="F162" t="inlineStr">
        <is>
          <t>2639766</t>
        </is>
      </c>
    </row>
    <row r="163">
      <c r="A163" t="inlineStr">
        <is>
          <t>2025-11</t>
        </is>
      </c>
      <c r="B163" t="inlineStr">
        <is>
          <t>CC900</t>
        </is>
      </c>
      <c r="C163" t="inlineStr">
        <is>
          <t>Corporate</t>
        </is>
      </c>
      <c r="D163" t="inlineStr">
        <is>
          <t>4100</t>
        </is>
      </c>
      <c r="E163" t="inlineStr">
        <is>
          <t>Subscription fees</t>
        </is>
      </c>
      <c r="F163" t="inlineStr">
        <is>
          <t>819000</t>
        </is>
      </c>
    </row>
    <row r="164">
      <c r="A164" t="inlineStr">
        <is>
          <t>2025-11</t>
        </is>
      </c>
      <c r="B164" t="inlineStr">
        <is>
          <t>CC900</t>
        </is>
      </c>
      <c r="C164" t="inlineStr">
        <is>
          <t>Corporate</t>
        </is>
      </c>
      <c r="D164" t="inlineStr">
        <is>
          <t>4200</t>
        </is>
      </c>
      <c r="E164" t="inlineStr">
        <is>
          <t>FX markup</t>
        </is>
      </c>
      <c r="F164" t="inlineStr">
        <is>
          <t>268234</t>
        </is>
      </c>
    </row>
    <row r="165">
      <c r="A165" t="inlineStr">
        <is>
          <t>2025-11</t>
        </is>
      </c>
      <c r="B165" t="inlineStr">
        <is>
          <t>CC900</t>
        </is>
      </c>
      <c r="C165" t="inlineStr">
        <is>
          <t>Corporate</t>
        </is>
      </c>
      <c r="D165" t="inlineStr">
        <is>
          <t>5000</t>
        </is>
      </c>
      <c r="E165" t="inlineStr">
        <is>
          <t>Scheme and interchange costs</t>
        </is>
      </c>
      <c r="F165" t="inlineStr">
        <is>
          <t>1405037</t>
        </is>
      </c>
    </row>
    <row r="166">
      <c r="A166" t="inlineStr">
        <is>
          <t>2025-11</t>
        </is>
      </c>
      <c r="B166" t="inlineStr">
        <is>
          <t>CC900</t>
        </is>
      </c>
      <c r="C166" t="inlineStr">
        <is>
          <t>Corporate</t>
        </is>
      </c>
      <c r="D166" t="inlineStr">
        <is>
          <t>5100</t>
        </is>
      </c>
      <c r="E166" t="inlineStr">
        <is>
          <t>Hosting</t>
        </is>
      </c>
      <c r="F166" t="inlineStr">
        <is>
          <t>125855</t>
        </is>
      </c>
    </row>
    <row r="167">
      <c r="A167" t="inlineStr">
        <is>
          <t>2025-11</t>
        </is>
      </c>
      <c r="B167" t="inlineStr">
        <is>
          <t>CC300</t>
        </is>
      </c>
      <c r="C167" t="inlineStr">
        <is>
          <t>Marketing</t>
        </is>
      </c>
      <c r="D167" t="inlineStr">
        <is>
          <t>6100</t>
        </is>
      </c>
      <c r="E167" t="inlineStr">
        <is>
          <t>Marketing programmes</t>
        </is>
      </c>
      <c r="F167" t="inlineStr">
        <is>
          <t>240000</t>
        </is>
      </c>
    </row>
    <row r="168">
      <c r="A168" t="inlineStr">
        <is>
          <t>2025-11</t>
        </is>
      </c>
      <c r="B168" t="inlineStr">
        <is>
          <t>CC500</t>
        </is>
      </c>
      <c r="C168" t="inlineStr">
        <is>
          <t>General and administrative</t>
        </is>
      </c>
      <c r="D168" t="inlineStr">
        <is>
          <t>6200</t>
        </is>
      </c>
      <c r="E168" t="inlineStr">
        <is>
          <t>Facilities</t>
        </is>
      </c>
      <c r="F168" t="inlineStr">
        <is>
          <t>156880</t>
        </is>
      </c>
    </row>
    <row r="169">
      <c r="A169" t="inlineStr">
        <is>
          <t>2025-11</t>
        </is>
      </c>
      <c r="B169" t="inlineStr">
        <is>
          <t>CC900</t>
        </is>
      </c>
      <c r="C169" t="inlineStr">
        <is>
          <t>Corporate</t>
        </is>
      </c>
      <c r="D169" t="inlineStr">
        <is>
          <t>7000</t>
        </is>
      </c>
      <c r="E169" t="inlineStr">
        <is>
          <t>Depreciation</t>
        </is>
      </c>
      <c r="F169" t="inlineStr">
        <is>
          <t>92057</t>
        </is>
      </c>
    </row>
    <row r="170">
      <c r="A170" t="inlineStr">
        <is>
          <t>2025-11</t>
        </is>
      </c>
      <c r="B170" t="inlineStr">
        <is>
          <t>CC900</t>
        </is>
      </c>
      <c r="C170" t="inlineStr">
        <is>
          <t>Corporate</t>
        </is>
      </c>
      <c r="D170" t="inlineStr">
        <is>
          <t>8000</t>
        </is>
      </c>
      <c r="E170" t="inlineStr">
        <is>
          <t>Interest expense</t>
        </is>
      </c>
      <c r="F170" t="inlineStr">
        <is>
          <t>25729</t>
        </is>
      </c>
    </row>
    <row r="171">
      <c r="A171" t="inlineStr">
        <is>
          <t>2025-11</t>
        </is>
      </c>
      <c r="B171" t="inlineStr">
        <is>
          <t>CC900</t>
        </is>
      </c>
      <c r="C171" t="inlineStr">
        <is>
          <t>Corporate</t>
        </is>
      </c>
      <c r="D171" t="inlineStr">
        <is>
          <t>9000</t>
        </is>
      </c>
      <c r="E171" t="inlineStr">
        <is>
          <t>Income tax</t>
        </is>
      </c>
      <c r="F171" t="inlineStr">
        <is>
          <t>118176</t>
        </is>
      </c>
    </row>
    <row r="172">
      <c r="A172" t="inlineStr">
        <is>
          <t>2025-11</t>
        </is>
      </c>
      <c r="B172" t="inlineStr">
        <is>
          <t>CC100</t>
        </is>
      </c>
      <c r="C172" t="inlineStr">
        <is>
          <t>Engineering</t>
        </is>
      </c>
      <c r="D172" t="inlineStr">
        <is>
          <t>6000</t>
        </is>
      </c>
      <c r="E172" t="inlineStr">
        <is>
          <t>Salaries and wages</t>
        </is>
      </c>
      <c r="F172" t="inlineStr">
        <is>
          <t>590000</t>
        </is>
      </c>
    </row>
    <row r="173">
      <c r="A173" t="inlineStr">
        <is>
          <t>2025-11</t>
        </is>
      </c>
      <c r="B173" t="inlineStr">
        <is>
          <t>CC200</t>
        </is>
      </c>
      <c r="C173" t="inlineStr">
        <is>
          <t>Sales</t>
        </is>
      </c>
      <c r="D173" t="inlineStr">
        <is>
          <t>6000</t>
        </is>
      </c>
      <c r="E173" t="inlineStr">
        <is>
          <t>Salaries and wages</t>
        </is>
      </c>
      <c r="F173" t="inlineStr">
        <is>
          <t>188000</t>
        </is>
      </c>
    </row>
    <row r="174">
      <c r="A174" t="inlineStr">
        <is>
          <t>2025-11</t>
        </is>
      </c>
      <c r="B174" t="inlineStr">
        <is>
          <t>CC300</t>
        </is>
      </c>
      <c r="C174" t="inlineStr">
        <is>
          <t>Marketing</t>
        </is>
      </c>
      <c r="D174" t="inlineStr">
        <is>
          <t>6000</t>
        </is>
      </c>
      <c r="E174" t="inlineStr">
        <is>
          <t>Salaries and wages</t>
        </is>
      </c>
      <c r="F174" t="inlineStr">
        <is>
          <t>71200</t>
        </is>
      </c>
    </row>
    <row r="175">
      <c r="A175" t="inlineStr">
        <is>
          <t>2025-11</t>
        </is>
      </c>
      <c r="B175" t="inlineStr">
        <is>
          <t>CC400</t>
        </is>
      </c>
      <c r="C175" t="inlineStr">
        <is>
          <t>Customer support</t>
        </is>
      </c>
      <c r="D175" t="inlineStr">
        <is>
          <t>6000</t>
        </is>
      </c>
      <c r="E175" t="inlineStr">
        <is>
          <t>Salaries and wages</t>
        </is>
      </c>
      <c r="F175" t="inlineStr">
        <is>
          <t>151200</t>
        </is>
      </c>
    </row>
    <row r="176">
      <c r="A176" t="inlineStr">
        <is>
          <t>2025-11</t>
        </is>
      </c>
      <c r="B176" t="inlineStr">
        <is>
          <t>CC500</t>
        </is>
      </c>
      <c r="C176" t="inlineStr">
        <is>
          <t>General and administrative</t>
        </is>
      </c>
      <c r="D176" t="inlineStr">
        <is>
          <t>6000</t>
        </is>
      </c>
      <c r="E176" t="inlineStr">
        <is>
          <t>Salaries and wages</t>
        </is>
      </c>
      <c r="F176" t="inlineStr">
        <is>
          <t>118300</t>
        </is>
      </c>
    </row>
    <row r="177">
      <c r="A177" t="inlineStr">
        <is>
          <t>2025-11</t>
        </is>
      </c>
      <c r="B177" t="inlineStr">
        <is>
          <t>CC600</t>
        </is>
      </c>
      <c r="C177" t="inlineStr">
        <is>
          <t>New product</t>
        </is>
      </c>
      <c r="D177" t="inlineStr">
        <is>
          <t>6000</t>
        </is>
      </c>
      <c r="E177" t="inlineStr">
        <is>
          <t>Salaries and wages</t>
        </is>
      </c>
      <c r="F177" t="inlineStr">
        <is>
          <t>96000</t>
        </is>
      </c>
    </row>
    <row r="178">
      <c r="A178" t="inlineStr">
        <is>
          <t>2025-12</t>
        </is>
      </c>
      <c r="B178" t="inlineStr">
        <is>
          <t>CC900</t>
        </is>
      </c>
      <c r="C178" t="inlineStr">
        <is>
          <t>Corporate</t>
        </is>
      </c>
      <c r="D178" t="inlineStr">
        <is>
          <t>4000</t>
        </is>
      </c>
      <c r="E178" t="inlineStr">
        <is>
          <t>Transaction fees</t>
        </is>
      </c>
      <c r="F178" t="inlineStr">
        <is>
          <t>2765912</t>
        </is>
      </c>
    </row>
    <row r="179">
      <c r="A179" t="inlineStr">
        <is>
          <t>2025-12</t>
        </is>
      </c>
      <c r="B179" t="inlineStr">
        <is>
          <t>CC900</t>
        </is>
      </c>
      <c r="C179" t="inlineStr">
        <is>
          <t>Corporate</t>
        </is>
      </c>
      <c r="D179" t="inlineStr">
        <is>
          <t>4100</t>
        </is>
      </c>
      <c r="E179" t="inlineStr">
        <is>
          <t>Subscription fees</t>
        </is>
      </c>
      <c r="F179" t="inlineStr">
        <is>
          <t>819000</t>
        </is>
      </c>
    </row>
    <row r="180">
      <c r="A180" t="inlineStr">
        <is>
          <t>2025-12</t>
        </is>
      </c>
      <c r="B180" t="inlineStr">
        <is>
          <t>CC900</t>
        </is>
      </c>
      <c r="C180" t="inlineStr">
        <is>
          <t>Corporate</t>
        </is>
      </c>
      <c r="D180" t="inlineStr">
        <is>
          <t>4200</t>
        </is>
      </c>
      <c r="E180" t="inlineStr">
        <is>
          <t>FX markup</t>
        </is>
      </c>
      <c r="F180" t="inlineStr">
        <is>
          <t>281052</t>
        </is>
      </c>
    </row>
    <row r="181">
      <c r="A181" t="inlineStr">
        <is>
          <t>2025-12</t>
        </is>
      </c>
      <c r="B181" t="inlineStr">
        <is>
          <t>CC900</t>
        </is>
      </c>
      <c r="C181" t="inlineStr">
        <is>
          <t>Corporate</t>
        </is>
      </c>
      <c r="D181" t="inlineStr">
        <is>
          <t>5000</t>
        </is>
      </c>
      <c r="E181" t="inlineStr">
        <is>
          <t>Scheme and interchange costs</t>
        </is>
      </c>
      <c r="F181" t="inlineStr">
        <is>
          <t>1472179</t>
        </is>
      </c>
    </row>
    <row r="182">
      <c r="A182" t="inlineStr">
        <is>
          <t>2025-12</t>
        </is>
      </c>
      <c r="B182" t="inlineStr">
        <is>
          <t>CC900</t>
        </is>
      </c>
      <c r="C182" t="inlineStr">
        <is>
          <t>Corporate</t>
        </is>
      </c>
      <c r="D182" t="inlineStr">
        <is>
          <t>5100</t>
        </is>
      </c>
      <c r="E182" t="inlineStr">
        <is>
          <t>Hosting</t>
        </is>
      </c>
      <c r="F182" t="inlineStr">
        <is>
          <t>128120</t>
        </is>
      </c>
    </row>
    <row r="183">
      <c r="A183" t="inlineStr">
        <is>
          <t>2025-12</t>
        </is>
      </c>
      <c r="B183" t="inlineStr">
        <is>
          <t>CC300</t>
        </is>
      </c>
      <c r="C183" t="inlineStr">
        <is>
          <t>Marketing</t>
        </is>
      </c>
      <c r="D183" t="inlineStr">
        <is>
          <t>6100</t>
        </is>
      </c>
      <c r="E183" t="inlineStr">
        <is>
          <t>Marketing programmes</t>
        </is>
      </c>
      <c r="F183" t="inlineStr">
        <is>
          <t>180000</t>
        </is>
      </c>
    </row>
    <row r="184">
      <c r="A184" t="inlineStr">
        <is>
          <t>2025-12</t>
        </is>
      </c>
      <c r="B184" t="inlineStr">
        <is>
          <t>CC500</t>
        </is>
      </c>
      <c r="C184" t="inlineStr">
        <is>
          <t>General and administrative</t>
        </is>
      </c>
      <c r="D184" t="inlineStr">
        <is>
          <t>6200</t>
        </is>
      </c>
      <c r="E184" t="inlineStr">
        <is>
          <t>Facilities</t>
        </is>
      </c>
      <c r="F184" t="inlineStr">
        <is>
          <t>156880</t>
        </is>
      </c>
    </row>
    <row r="185">
      <c r="A185" t="inlineStr">
        <is>
          <t>2025-12</t>
        </is>
      </c>
      <c r="B185" t="inlineStr">
        <is>
          <t>CC900</t>
        </is>
      </c>
      <c r="C185" t="inlineStr">
        <is>
          <t>Corporate</t>
        </is>
      </c>
      <c r="D185" t="inlineStr">
        <is>
          <t>7000</t>
        </is>
      </c>
      <c r="E185" t="inlineStr">
        <is>
          <t>Depreciation</t>
        </is>
      </c>
      <c r="F185" t="inlineStr">
        <is>
          <t>92714</t>
        </is>
      </c>
    </row>
    <row r="186">
      <c r="A186" t="inlineStr">
        <is>
          <t>2025-12</t>
        </is>
      </c>
      <c r="B186" t="inlineStr">
        <is>
          <t>CC900</t>
        </is>
      </c>
      <c r="C186" t="inlineStr">
        <is>
          <t>Corporate</t>
        </is>
      </c>
      <c r="D186" t="inlineStr">
        <is>
          <t>8000</t>
        </is>
      </c>
      <c r="E186" t="inlineStr">
        <is>
          <t>Interest expense</t>
        </is>
      </c>
      <c r="F186" t="inlineStr">
        <is>
          <t>24740</t>
        </is>
      </c>
    </row>
    <row r="187">
      <c r="A187" t="inlineStr">
        <is>
          <t>2025-12</t>
        </is>
      </c>
      <c r="B187" t="inlineStr">
        <is>
          <t>CC900</t>
        </is>
      </c>
      <c r="C187" t="inlineStr">
        <is>
          <t>Corporate</t>
        </is>
      </c>
      <c r="D187" t="inlineStr">
        <is>
          <t>9000</t>
        </is>
      </c>
      <c r="E187" t="inlineStr">
        <is>
          <t>Income tax</t>
        </is>
      </c>
      <c r="F187" t="inlineStr">
        <is>
          <t>145453</t>
        </is>
      </c>
    </row>
    <row r="188">
      <c r="A188" t="inlineStr">
        <is>
          <t>2025-12</t>
        </is>
      </c>
      <c r="B188" t="inlineStr">
        <is>
          <t>CC100</t>
        </is>
      </c>
      <c r="C188" t="inlineStr">
        <is>
          <t>Engineering</t>
        </is>
      </c>
      <c r="D188" t="inlineStr">
        <is>
          <t>6000</t>
        </is>
      </c>
      <c r="E188" t="inlineStr">
        <is>
          <t>Salaries and wages</t>
        </is>
      </c>
      <c r="F188" t="inlineStr">
        <is>
          <t>590000</t>
        </is>
      </c>
    </row>
    <row r="189">
      <c r="A189" t="inlineStr">
        <is>
          <t>2025-12</t>
        </is>
      </c>
      <c r="B189" t="inlineStr">
        <is>
          <t>CC200</t>
        </is>
      </c>
      <c r="C189" t="inlineStr">
        <is>
          <t>Sales</t>
        </is>
      </c>
      <c r="D189" t="inlineStr">
        <is>
          <t>6000</t>
        </is>
      </c>
      <c r="E189" t="inlineStr">
        <is>
          <t>Salaries and wages</t>
        </is>
      </c>
      <c r="F189" t="inlineStr">
        <is>
          <t>188000</t>
        </is>
      </c>
    </row>
    <row r="190">
      <c r="A190" t="inlineStr">
        <is>
          <t>2025-12</t>
        </is>
      </c>
      <c r="B190" t="inlineStr">
        <is>
          <t>CC300</t>
        </is>
      </c>
      <c r="C190" t="inlineStr">
        <is>
          <t>Marketing</t>
        </is>
      </c>
      <c r="D190" t="inlineStr">
        <is>
          <t>6000</t>
        </is>
      </c>
      <c r="E190" t="inlineStr">
        <is>
          <t>Salaries and wages</t>
        </is>
      </c>
      <c r="F190" t="inlineStr">
        <is>
          <t>71200</t>
        </is>
      </c>
    </row>
    <row r="191">
      <c r="A191" t="inlineStr">
        <is>
          <t>2025-12</t>
        </is>
      </c>
      <c r="B191" t="inlineStr">
        <is>
          <t>CC400</t>
        </is>
      </c>
      <c r="C191" t="inlineStr">
        <is>
          <t>Customer support</t>
        </is>
      </c>
      <c r="D191" t="inlineStr">
        <is>
          <t>6000</t>
        </is>
      </c>
      <c r="E191" t="inlineStr">
        <is>
          <t>Salaries and wages</t>
        </is>
      </c>
      <c r="F191" t="inlineStr">
        <is>
          <t>151200</t>
        </is>
      </c>
    </row>
    <row r="192">
      <c r="A192" t="inlineStr">
        <is>
          <t>2025-12</t>
        </is>
      </c>
      <c r="B192" t="inlineStr">
        <is>
          <t>CC500</t>
        </is>
      </c>
      <c r="C192" t="inlineStr">
        <is>
          <t>General and administrative</t>
        </is>
      </c>
      <c r="D192" t="inlineStr">
        <is>
          <t>6000</t>
        </is>
      </c>
      <c r="E192" t="inlineStr">
        <is>
          <t>Salaries and wages</t>
        </is>
      </c>
      <c r="F192" t="inlineStr">
        <is>
          <t>118300</t>
        </is>
      </c>
    </row>
    <row r="193">
      <c r="A193" t="inlineStr">
        <is>
          <t>2025-12</t>
        </is>
      </c>
      <c r="B193" t="inlineStr">
        <is>
          <t>CC600</t>
        </is>
      </c>
      <c r="C193" t="inlineStr">
        <is>
          <t>New product</t>
        </is>
      </c>
      <c r="D193" t="inlineStr">
        <is>
          <t>6000</t>
        </is>
      </c>
      <c r="E193" t="inlineStr">
        <is>
          <t>Salaries and wages</t>
        </is>
      </c>
      <c r="F193" t="inlineStr">
        <is>
          <t>96000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2" t="inlineStr">
        <is>
          <t>What is wrong with the export, before any analysis</t>
        </is>
      </c>
    </row>
    <row r="3">
      <c r="A3" t="inlineStr">
        <is>
          <t>rows</t>
        </is>
      </c>
      <c r="B3">
        <f>COUNTA(actuals!A2:A319)</f>
        <v/>
      </c>
      <c r="C3" t="inlineStr">
        <is>
          <t>expected 318</t>
        </is>
      </c>
    </row>
    <row r="4">
      <c r="A4" t="inlineStr">
        <is>
          <t>distinct journal ids</t>
        </is>
      </c>
      <c r="B4">
        <f>SUMPRODUCT(1/COUNTIF(actuals!A2:A319,actuals!A2:A319))</f>
        <v/>
      </c>
      <c r="C4" t="inlineStr">
        <is>
          <t>expected 317</t>
        </is>
      </c>
    </row>
    <row r="5">
      <c r="A5" t="inlineStr">
        <is>
          <t>amounts that are not numbers</t>
        </is>
      </c>
      <c r="B5">
        <f>SUMPRODUCT(--NOT(ISNUMBER(actuals!H2:H319)))</f>
        <v/>
      </c>
      <c r="C5" t="inlineStr">
        <is>
          <t>expected 2</t>
        </is>
      </c>
    </row>
    <row r="6">
      <c r="A6" t="inlineStr">
        <is>
          <t>labels with untrimmed spaces</t>
        </is>
      </c>
      <c r="B6">
        <f>SUMPRODUCT(--(TRIM(actuals!F2:F319)&lt;&gt;actuals!F2:F319))</f>
        <v/>
      </c>
      <c r="C6" t="inlineStr">
        <is>
          <t>expected 1</t>
        </is>
      </c>
    </row>
    <row r="8">
      <c r="A8" s="8" t="inlineStr">
        <is>
          <t>The duplicate is JE000261, 590,000 of engineering payroll in 2025-06. It is excluded from the pack by the SUMIFS below, which counts each journal once, and it has been reported to the accountant.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2" t="inlineStr">
        <is>
          <t>account_code</t>
        </is>
      </c>
      <c r="B1" s="2" t="inlineStr">
        <is>
          <t>pack_line</t>
        </is>
      </c>
      <c r="C1" s="2" t="inlineStr">
        <is>
          <t>group</t>
        </is>
      </c>
    </row>
    <row r="2">
      <c r="A2" t="inlineStr">
        <is>
          <t>4000</t>
        </is>
      </c>
      <c r="B2" t="inlineStr">
        <is>
          <t>Transaction fees</t>
        </is>
      </c>
      <c r="C2" t="inlineStr">
        <is>
          <t>revenue</t>
        </is>
      </c>
    </row>
    <row r="3">
      <c r="A3" t="inlineStr">
        <is>
          <t>4100</t>
        </is>
      </c>
      <c r="B3" t="inlineStr">
        <is>
          <t>Subscription fees</t>
        </is>
      </c>
      <c r="C3" t="inlineStr">
        <is>
          <t>revenue</t>
        </is>
      </c>
    </row>
    <row r="4">
      <c r="A4" t="inlineStr">
        <is>
          <t>4200</t>
        </is>
      </c>
      <c r="B4" t="inlineStr">
        <is>
          <t>FX markup</t>
        </is>
      </c>
      <c r="C4" t="inlineStr">
        <is>
          <t>revenue</t>
        </is>
      </c>
    </row>
    <row r="5">
      <c r="A5" t="inlineStr">
        <is>
          <t>5000</t>
        </is>
      </c>
      <c r="B5" t="inlineStr">
        <is>
          <t>Scheme and interchange</t>
        </is>
      </c>
      <c r="C5" t="inlineStr">
        <is>
          <t>cogs</t>
        </is>
      </c>
    </row>
    <row r="6">
      <c r="A6" t="inlineStr">
        <is>
          <t>5100</t>
        </is>
      </c>
      <c r="B6" t="inlineStr">
        <is>
          <t>Cloud hosting</t>
        </is>
      </c>
      <c r="C6" t="inlineStr">
        <is>
          <t>cogs</t>
        </is>
      </c>
    </row>
    <row r="7">
      <c r="A7" t="inlineStr">
        <is>
          <t>6000</t>
        </is>
      </c>
      <c r="B7" t="inlineStr">
        <is>
          <t>Salaries</t>
        </is>
      </c>
      <c r="C7" t="inlineStr">
        <is>
          <t>opex</t>
        </is>
      </c>
    </row>
    <row r="8">
      <c r="A8" t="inlineStr">
        <is>
          <t>6100</t>
        </is>
      </c>
      <c r="B8" t="inlineStr">
        <is>
          <t>Marketing programmes</t>
        </is>
      </c>
      <c r="C8" t="inlineStr">
        <is>
          <t>opex</t>
        </is>
      </c>
    </row>
    <row r="9">
      <c r="A9" t="inlineStr">
        <is>
          <t>6200</t>
        </is>
      </c>
      <c r="B9" t="inlineStr">
        <is>
          <t>Facilities and admin</t>
        </is>
      </c>
      <c r="C9" t="inlineStr">
        <is>
          <t>opex</t>
        </is>
      </c>
    </row>
    <row r="10">
      <c r="A10" t="inlineStr">
        <is>
          <t>7000</t>
        </is>
      </c>
      <c r="B10" t="inlineStr">
        <is>
          <t>Depreciation</t>
        </is>
      </c>
      <c r="C10" t="inlineStr">
        <is>
          <t>below</t>
        </is>
      </c>
    </row>
    <row r="11">
      <c r="A11" t="inlineStr">
        <is>
          <t>8000</t>
        </is>
      </c>
      <c r="B11" t="inlineStr">
        <is>
          <t>Interest</t>
        </is>
      </c>
      <c r="C11" t="inlineStr">
        <is>
          <t>below</t>
        </is>
      </c>
    </row>
    <row r="12">
      <c r="A12" t="inlineStr">
        <is>
          <t>9000</t>
        </is>
      </c>
      <c r="B12" t="inlineStr">
        <is>
          <t>Tax</t>
        </is>
      </c>
      <c r="C12" t="inlineStr">
        <is>
          <t>below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cols>
    <col width="24" customWidth="1" min="5" max="5"/>
  </cols>
  <sheetData>
    <row r="1">
      <c r="A1" s="2" t="inlineStr">
        <is>
          <t>journal_id</t>
        </is>
      </c>
      <c r="B1" s="2" t="inlineStr">
        <is>
          <t>month</t>
        </is>
      </c>
      <c r="C1" s="2" t="inlineStr">
        <is>
          <t>account_code</t>
        </is>
      </c>
      <c r="D1" s="2" t="inlineStr">
        <is>
          <t>value</t>
        </is>
      </c>
      <c r="E1" s="2" t="inlineStr">
        <is>
          <t>pack_line</t>
        </is>
      </c>
      <c r="F1" s="2" t="inlineStr">
        <is>
          <t>first_time</t>
        </is>
      </c>
      <c r="G1" s="2" t="inlineStr">
        <is>
          <t>group</t>
        </is>
      </c>
    </row>
    <row r="2">
      <c r="A2">
        <f>actuals!A2</f>
        <v/>
      </c>
      <c r="B2">
        <f>actuals!B2</f>
        <v/>
      </c>
      <c r="C2">
        <f>actuals!E2</f>
        <v/>
      </c>
      <c r="D2">
        <f>IF(actuals!G2="revenue",-1,1)*IFERROR(actuals!H2,VALUE(SUBSTITUTE(SUBSTITUTE(SUBSTITUTE(actuals!H2,"(","-"),")",""),",","")))</f>
        <v/>
      </c>
      <c r="E2">
        <f>INDEX(map!$B$2:$B$12,MATCH(actuals!E2,map!$A$2:$A$12,0))</f>
        <v/>
      </c>
      <c r="F2">
        <f>IF(COUNTIF($A$2:$A2,actuals!A2)=1,1,0)</f>
        <v/>
      </c>
      <c r="G2">
        <f>INDEX(map!$C$2:$C$12,MATCH(actuals!E2,map!$A$2:$A$12,0))</f>
        <v/>
      </c>
    </row>
    <row r="3">
      <c r="A3">
        <f>actuals!A3</f>
        <v/>
      </c>
      <c r="B3">
        <f>actuals!B3</f>
        <v/>
      </c>
      <c r="C3">
        <f>actuals!E3</f>
        <v/>
      </c>
      <c r="D3">
        <f>IF(actuals!G3="revenue",-1,1)*IFERROR(actuals!H3,VALUE(SUBSTITUTE(SUBSTITUTE(SUBSTITUTE(actuals!H3,"(","-"),")",""),",","")))</f>
        <v/>
      </c>
      <c r="E3">
        <f>INDEX(map!$B$2:$B$12,MATCH(actuals!E3,map!$A$2:$A$12,0))</f>
        <v/>
      </c>
      <c r="F3">
        <f>IF(COUNTIF($A$2:$A3,actuals!A3)=1,1,0)</f>
        <v/>
      </c>
      <c r="G3">
        <f>INDEX(map!$C$2:$C$12,MATCH(actuals!E3,map!$A$2:$A$12,0))</f>
        <v/>
      </c>
    </row>
    <row r="4">
      <c r="A4">
        <f>actuals!A4</f>
        <v/>
      </c>
      <c r="B4">
        <f>actuals!B4</f>
        <v/>
      </c>
      <c r="C4">
        <f>actuals!E4</f>
        <v/>
      </c>
      <c r="D4">
        <f>IF(actuals!G4="revenue",-1,1)*IFERROR(actuals!H4,VALUE(SUBSTITUTE(SUBSTITUTE(SUBSTITUTE(actuals!H4,"(","-"),")",""),",","")))</f>
        <v/>
      </c>
      <c r="E4">
        <f>INDEX(map!$B$2:$B$12,MATCH(actuals!E4,map!$A$2:$A$12,0))</f>
        <v/>
      </c>
      <c r="F4">
        <f>IF(COUNTIF($A$2:$A4,actuals!A4)=1,1,0)</f>
        <v/>
      </c>
      <c r="G4">
        <f>INDEX(map!$C$2:$C$12,MATCH(actuals!E4,map!$A$2:$A$12,0))</f>
        <v/>
      </c>
    </row>
    <row r="5">
      <c r="A5">
        <f>actuals!A5</f>
        <v/>
      </c>
      <c r="B5">
        <f>actuals!B5</f>
        <v/>
      </c>
      <c r="C5">
        <f>actuals!E5</f>
        <v/>
      </c>
      <c r="D5">
        <f>IF(actuals!G5="revenue",-1,1)*IFERROR(actuals!H5,VALUE(SUBSTITUTE(SUBSTITUTE(SUBSTITUTE(actuals!H5,"(","-"),")",""),",","")))</f>
        <v/>
      </c>
      <c r="E5">
        <f>INDEX(map!$B$2:$B$12,MATCH(actuals!E5,map!$A$2:$A$12,0))</f>
        <v/>
      </c>
      <c r="F5">
        <f>IF(COUNTIF($A$2:$A5,actuals!A5)=1,1,0)</f>
        <v/>
      </c>
      <c r="G5">
        <f>INDEX(map!$C$2:$C$12,MATCH(actuals!E5,map!$A$2:$A$12,0))</f>
        <v/>
      </c>
    </row>
    <row r="6">
      <c r="A6">
        <f>actuals!A6</f>
        <v/>
      </c>
      <c r="B6">
        <f>actuals!B6</f>
        <v/>
      </c>
      <c r="C6">
        <f>actuals!E6</f>
        <v/>
      </c>
      <c r="D6">
        <f>IF(actuals!G6="revenue",-1,1)*IFERROR(actuals!H6,VALUE(SUBSTITUTE(SUBSTITUTE(SUBSTITUTE(actuals!H6,"(","-"),")",""),",","")))</f>
        <v/>
      </c>
      <c r="E6">
        <f>INDEX(map!$B$2:$B$12,MATCH(actuals!E6,map!$A$2:$A$12,0))</f>
        <v/>
      </c>
      <c r="F6">
        <f>IF(COUNTIF($A$2:$A6,actuals!A6)=1,1,0)</f>
        <v/>
      </c>
      <c r="G6">
        <f>INDEX(map!$C$2:$C$12,MATCH(actuals!E6,map!$A$2:$A$12,0))</f>
        <v/>
      </c>
    </row>
    <row r="7">
      <c r="A7">
        <f>actuals!A7</f>
        <v/>
      </c>
      <c r="B7">
        <f>actuals!B7</f>
        <v/>
      </c>
      <c r="C7">
        <f>actuals!E7</f>
        <v/>
      </c>
      <c r="D7">
        <f>IF(actuals!G7="revenue",-1,1)*IFERROR(actuals!H7,VALUE(SUBSTITUTE(SUBSTITUTE(SUBSTITUTE(actuals!H7,"(","-"),")",""),",","")))</f>
        <v/>
      </c>
      <c r="E7">
        <f>INDEX(map!$B$2:$B$12,MATCH(actuals!E7,map!$A$2:$A$12,0))</f>
        <v/>
      </c>
      <c r="F7">
        <f>IF(COUNTIF($A$2:$A7,actuals!A7)=1,1,0)</f>
        <v/>
      </c>
      <c r="G7">
        <f>INDEX(map!$C$2:$C$12,MATCH(actuals!E7,map!$A$2:$A$12,0))</f>
        <v/>
      </c>
    </row>
    <row r="8">
      <c r="A8">
        <f>actuals!A8</f>
        <v/>
      </c>
      <c r="B8">
        <f>actuals!B8</f>
        <v/>
      </c>
      <c r="C8">
        <f>actuals!E8</f>
        <v/>
      </c>
      <c r="D8">
        <f>IF(actuals!G8="revenue",-1,1)*IFERROR(actuals!H8,VALUE(SUBSTITUTE(SUBSTITUTE(SUBSTITUTE(actuals!H8,"(","-"),")",""),",","")))</f>
        <v/>
      </c>
      <c r="E8">
        <f>INDEX(map!$B$2:$B$12,MATCH(actuals!E8,map!$A$2:$A$12,0))</f>
        <v/>
      </c>
      <c r="F8">
        <f>IF(COUNTIF($A$2:$A8,actuals!A8)=1,1,0)</f>
        <v/>
      </c>
      <c r="G8">
        <f>INDEX(map!$C$2:$C$12,MATCH(actuals!E8,map!$A$2:$A$12,0))</f>
        <v/>
      </c>
    </row>
    <row r="9">
      <c r="A9">
        <f>actuals!A9</f>
        <v/>
      </c>
      <c r="B9">
        <f>actuals!B9</f>
        <v/>
      </c>
      <c r="C9">
        <f>actuals!E9</f>
        <v/>
      </c>
      <c r="D9">
        <f>IF(actuals!G9="revenue",-1,1)*IFERROR(actuals!H9,VALUE(SUBSTITUTE(SUBSTITUTE(SUBSTITUTE(actuals!H9,"(","-"),")",""),",","")))</f>
        <v/>
      </c>
      <c r="E9">
        <f>INDEX(map!$B$2:$B$12,MATCH(actuals!E9,map!$A$2:$A$12,0))</f>
        <v/>
      </c>
      <c r="F9">
        <f>IF(COUNTIF($A$2:$A9,actuals!A9)=1,1,0)</f>
        <v/>
      </c>
      <c r="G9">
        <f>INDEX(map!$C$2:$C$12,MATCH(actuals!E9,map!$A$2:$A$12,0))</f>
        <v/>
      </c>
    </row>
    <row r="10">
      <c r="A10">
        <f>actuals!A10</f>
        <v/>
      </c>
      <c r="B10">
        <f>actuals!B10</f>
        <v/>
      </c>
      <c r="C10">
        <f>actuals!E10</f>
        <v/>
      </c>
      <c r="D10">
        <f>IF(actuals!G10="revenue",-1,1)*IFERROR(actuals!H10,VALUE(SUBSTITUTE(SUBSTITUTE(SUBSTITUTE(actuals!H10,"(","-"),")",""),",","")))</f>
        <v/>
      </c>
      <c r="E10">
        <f>INDEX(map!$B$2:$B$12,MATCH(actuals!E10,map!$A$2:$A$12,0))</f>
        <v/>
      </c>
      <c r="F10">
        <f>IF(COUNTIF($A$2:$A10,actuals!A10)=1,1,0)</f>
        <v/>
      </c>
      <c r="G10">
        <f>INDEX(map!$C$2:$C$12,MATCH(actuals!E10,map!$A$2:$A$12,0))</f>
        <v/>
      </c>
    </row>
    <row r="11">
      <c r="A11">
        <f>actuals!A11</f>
        <v/>
      </c>
      <c r="B11">
        <f>actuals!B11</f>
        <v/>
      </c>
      <c r="C11">
        <f>actuals!E11</f>
        <v/>
      </c>
      <c r="D11">
        <f>IF(actuals!G11="revenue",-1,1)*IFERROR(actuals!H11,VALUE(SUBSTITUTE(SUBSTITUTE(SUBSTITUTE(actuals!H11,"(","-"),")",""),",","")))</f>
        <v/>
      </c>
      <c r="E11">
        <f>INDEX(map!$B$2:$B$12,MATCH(actuals!E11,map!$A$2:$A$12,0))</f>
        <v/>
      </c>
      <c r="F11">
        <f>IF(COUNTIF($A$2:$A11,actuals!A11)=1,1,0)</f>
        <v/>
      </c>
      <c r="G11">
        <f>INDEX(map!$C$2:$C$12,MATCH(actuals!E11,map!$A$2:$A$12,0))</f>
        <v/>
      </c>
    </row>
    <row r="12">
      <c r="A12">
        <f>actuals!A12</f>
        <v/>
      </c>
      <c r="B12">
        <f>actuals!B12</f>
        <v/>
      </c>
      <c r="C12">
        <f>actuals!E12</f>
        <v/>
      </c>
      <c r="D12">
        <f>IF(actuals!G12="revenue",-1,1)*IFERROR(actuals!H12,VALUE(SUBSTITUTE(SUBSTITUTE(SUBSTITUTE(actuals!H12,"(","-"),")",""),",","")))</f>
        <v/>
      </c>
      <c r="E12">
        <f>INDEX(map!$B$2:$B$12,MATCH(actuals!E12,map!$A$2:$A$12,0))</f>
        <v/>
      </c>
      <c r="F12">
        <f>IF(COUNTIF($A$2:$A12,actuals!A12)=1,1,0)</f>
        <v/>
      </c>
      <c r="G12">
        <f>INDEX(map!$C$2:$C$12,MATCH(actuals!E12,map!$A$2:$A$12,0))</f>
        <v/>
      </c>
    </row>
    <row r="13">
      <c r="A13">
        <f>actuals!A13</f>
        <v/>
      </c>
      <c r="B13">
        <f>actuals!B13</f>
        <v/>
      </c>
      <c r="C13">
        <f>actuals!E13</f>
        <v/>
      </c>
      <c r="D13">
        <f>IF(actuals!G13="revenue",-1,1)*IFERROR(actuals!H13,VALUE(SUBSTITUTE(SUBSTITUTE(SUBSTITUTE(actuals!H13,"(","-"),")",""),",","")))</f>
        <v/>
      </c>
      <c r="E13">
        <f>INDEX(map!$B$2:$B$12,MATCH(actuals!E13,map!$A$2:$A$12,0))</f>
        <v/>
      </c>
      <c r="F13">
        <f>IF(COUNTIF($A$2:$A13,actuals!A13)=1,1,0)</f>
        <v/>
      </c>
      <c r="G13">
        <f>INDEX(map!$C$2:$C$12,MATCH(actuals!E13,map!$A$2:$A$12,0))</f>
        <v/>
      </c>
    </row>
    <row r="14">
      <c r="A14">
        <f>actuals!A14</f>
        <v/>
      </c>
      <c r="B14">
        <f>actuals!B14</f>
        <v/>
      </c>
      <c r="C14">
        <f>actuals!E14</f>
        <v/>
      </c>
      <c r="D14">
        <f>IF(actuals!G14="revenue",-1,1)*IFERROR(actuals!H14,VALUE(SUBSTITUTE(SUBSTITUTE(SUBSTITUTE(actuals!H14,"(","-"),")",""),",","")))</f>
        <v/>
      </c>
      <c r="E14">
        <f>INDEX(map!$B$2:$B$12,MATCH(actuals!E14,map!$A$2:$A$12,0))</f>
        <v/>
      </c>
      <c r="F14">
        <f>IF(COUNTIF($A$2:$A14,actuals!A14)=1,1,0)</f>
        <v/>
      </c>
      <c r="G14">
        <f>INDEX(map!$C$2:$C$12,MATCH(actuals!E14,map!$A$2:$A$12,0))</f>
        <v/>
      </c>
    </row>
    <row r="15">
      <c r="A15">
        <f>actuals!A15</f>
        <v/>
      </c>
      <c r="B15">
        <f>actuals!B15</f>
        <v/>
      </c>
      <c r="C15">
        <f>actuals!E15</f>
        <v/>
      </c>
      <c r="D15">
        <f>IF(actuals!G15="revenue",-1,1)*IFERROR(actuals!H15,VALUE(SUBSTITUTE(SUBSTITUTE(SUBSTITUTE(actuals!H15,"(","-"),")",""),",","")))</f>
        <v/>
      </c>
      <c r="E15">
        <f>INDEX(map!$B$2:$B$12,MATCH(actuals!E15,map!$A$2:$A$12,0))</f>
        <v/>
      </c>
      <c r="F15">
        <f>IF(COUNTIF($A$2:$A15,actuals!A15)=1,1,0)</f>
        <v/>
      </c>
      <c r="G15">
        <f>INDEX(map!$C$2:$C$12,MATCH(actuals!E15,map!$A$2:$A$12,0))</f>
        <v/>
      </c>
    </row>
    <row r="16">
      <c r="A16">
        <f>actuals!A16</f>
        <v/>
      </c>
      <c r="B16">
        <f>actuals!B16</f>
        <v/>
      </c>
      <c r="C16">
        <f>actuals!E16</f>
        <v/>
      </c>
      <c r="D16">
        <f>IF(actuals!G16="revenue",-1,1)*IFERROR(actuals!H16,VALUE(SUBSTITUTE(SUBSTITUTE(SUBSTITUTE(actuals!H16,"(","-"),")",""),",","")))</f>
        <v/>
      </c>
      <c r="E16">
        <f>INDEX(map!$B$2:$B$12,MATCH(actuals!E16,map!$A$2:$A$12,0))</f>
        <v/>
      </c>
      <c r="F16">
        <f>IF(COUNTIF($A$2:$A16,actuals!A16)=1,1,0)</f>
        <v/>
      </c>
      <c r="G16">
        <f>INDEX(map!$C$2:$C$12,MATCH(actuals!E16,map!$A$2:$A$12,0))</f>
        <v/>
      </c>
    </row>
    <row r="17">
      <c r="A17">
        <f>actuals!A17</f>
        <v/>
      </c>
      <c r="B17">
        <f>actuals!B17</f>
        <v/>
      </c>
      <c r="C17">
        <f>actuals!E17</f>
        <v/>
      </c>
      <c r="D17">
        <f>IF(actuals!G17="revenue",-1,1)*IFERROR(actuals!H17,VALUE(SUBSTITUTE(SUBSTITUTE(SUBSTITUTE(actuals!H17,"(","-"),")",""),",","")))</f>
        <v/>
      </c>
      <c r="E17">
        <f>INDEX(map!$B$2:$B$12,MATCH(actuals!E17,map!$A$2:$A$12,0))</f>
        <v/>
      </c>
      <c r="F17">
        <f>IF(COUNTIF($A$2:$A17,actuals!A17)=1,1,0)</f>
        <v/>
      </c>
      <c r="G17">
        <f>INDEX(map!$C$2:$C$12,MATCH(actuals!E17,map!$A$2:$A$12,0))</f>
        <v/>
      </c>
    </row>
    <row r="18">
      <c r="A18">
        <f>actuals!A18</f>
        <v/>
      </c>
      <c r="B18">
        <f>actuals!B18</f>
        <v/>
      </c>
      <c r="C18">
        <f>actuals!E18</f>
        <v/>
      </c>
      <c r="D18">
        <f>IF(actuals!G18="revenue",-1,1)*IFERROR(actuals!H18,VALUE(SUBSTITUTE(SUBSTITUTE(SUBSTITUTE(actuals!H18,"(","-"),")",""),",","")))</f>
        <v/>
      </c>
      <c r="E18">
        <f>INDEX(map!$B$2:$B$12,MATCH(actuals!E18,map!$A$2:$A$12,0))</f>
        <v/>
      </c>
      <c r="F18">
        <f>IF(COUNTIF($A$2:$A18,actuals!A18)=1,1,0)</f>
        <v/>
      </c>
      <c r="G18">
        <f>INDEX(map!$C$2:$C$12,MATCH(actuals!E18,map!$A$2:$A$12,0))</f>
        <v/>
      </c>
    </row>
    <row r="19">
      <c r="A19">
        <f>actuals!A19</f>
        <v/>
      </c>
      <c r="B19">
        <f>actuals!B19</f>
        <v/>
      </c>
      <c r="C19">
        <f>actuals!E19</f>
        <v/>
      </c>
      <c r="D19">
        <f>IF(actuals!G19="revenue",-1,1)*IFERROR(actuals!H19,VALUE(SUBSTITUTE(SUBSTITUTE(SUBSTITUTE(actuals!H19,"(","-"),")",""),",","")))</f>
        <v/>
      </c>
      <c r="E19">
        <f>INDEX(map!$B$2:$B$12,MATCH(actuals!E19,map!$A$2:$A$12,0))</f>
        <v/>
      </c>
      <c r="F19">
        <f>IF(COUNTIF($A$2:$A19,actuals!A19)=1,1,0)</f>
        <v/>
      </c>
      <c r="G19">
        <f>INDEX(map!$C$2:$C$12,MATCH(actuals!E19,map!$A$2:$A$12,0))</f>
        <v/>
      </c>
    </row>
    <row r="20">
      <c r="A20">
        <f>actuals!A20</f>
        <v/>
      </c>
      <c r="B20">
        <f>actuals!B20</f>
        <v/>
      </c>
      <c r="C20">
        <f>actuals!E20</f>
        <v/>
      </c>
      <c r="D20">
        <f>IF(actuals!G20="revenue",-1,1)*IFERROR(actuals!H20,VALUE(SUBSTITUTE(SUBSTITUTE(SUBSTITUTE(actuals!H20,"(","-"),")",""),",","")))</f>
        <v/>
      </c>
      <c r="E20">
        <f>INDEX(map!$B$2:$B$12,MATCH(actuals!E20,map!$A$2:$A$12,0))</f>
        <v/>
      </c>
      <c r="F20">
        <f>IF(COUNTIF($A$2:$A20,actuals!A20)=1,1,0)</f>
        <v/>
      </c>
      <c r="G20">
        <f>INDEX(map!$C$2:$C$12,MATCH(actuals!E20,map!$A$2:$A$12,0))</f>
        <v/>
      </c>
    </row>
    <row r="21">
      <c r="A21">
        <f>actuals!A21</f>
        <v/>
      </c>
      <c r="B21">
        <f>actuals!B21</f>
        <v/>
      </c>
      <c r="C21">
        <f>actuals!E21</f>
        <v/>
      </c>
      <c r="D21">
        <f>IF(actuals!G21="revenue",-1,1)*IFERROR(actuals!H21,VALUE(SUBSTITUTE(SUBSTITUTE(SUBSTITUTE(actuals!H21,"(","-"),")",""),",","")))</f>
        <v/>
      </c>
      <c r="E21">
        <f>INDEX(map!$B$2:$B$12,MATCH(actuals!E21,map!$A$2:$A$12,0))</f>
        <v/>
      </c>
      <c r="F21">
        <f>IF(COUNTIF($A$2:$A21,actuals!A21)=1,1,0)</f>
        <v/>
      </c>
      <c r="G21">
        <f>INDEX(map!$C$2:$C$12,MATCH(actuals!E21,map!$A$2:$A$12,0))</f>
        <v/>
      </c>
    </row>
    <row r="22">
      <c r="A22">
        <f>actuals!A22</f>
        <v/>
      </c>
      <c r="B22">
        <f>actuals!B22</f>
        <v/>
      </c>
      <c r="C22">
        <f>actuals!E22</f>
        <v/>
      </c>
      <c r="D22">
        <f>IF(actuals!G22="revenue",-1,1)*IFERROR(actuals!H22,VALUE(SUBSTITUTE(SUBSTITUTE(SUBSTITUTE(actuals!H22,"(","-"),")",""),",","")))</f>
        <v/>
      </c>
      <c r="E22">
        <f>INDEX(map!$B$2:$B$12,MATCH(actuals!E22,map!$A$2:$A$12,0))</f>
        <v/>
      </c>
      <c r="F22">
        <f>IF(COUNTIF($A$2:$A22,actuals!A22)=1,1,0)</f>
        <v/>
      </c>
      <c r="G22">
        <f>INDEX(map!$C$2:$C$12,MATCH(actuals!E22,map!$A$2:$A$12,0))</f>
        <v/>
      </c>
    </row>
    <row r="23">
      <c r="A23">
        <f>actuals!A23</f>
        <v/>
      </c>
      <c r="B23">
        <f>actuals!B23</f>
        <v/>
      </c>
      <c r="C23">
        <f>actuals!E23</f>
        <v/>
      </c>
      <c r="D23">
        <f>IF(actuals!G23="revenue",-1,1)*IFERROR(actuals!H23,VALUE(SUBSTITUTE(SUBSTITUTE(SUBSTITUTE(actuals!H23,"(","-"),")",""),",","")))</f>
        <v/>
      </c>
      <c r="E23">
        <f>INDEX(map!$B$2:$B$12,MATCH(actuals!E23,map!$A$2:$A$12,0))</f>
        <v/>
      </c>
      <c r="F23">
        <f>IF(COUNTIF($A$2:$A23,actuals!A23)=1,1,0)</f>
        <v/>
      </c>
      <c r="G23">
        <f>INDEX(map!$C$2:$C$12,MATCH(actuals!E23,map!$A$2:$A$12,0))</f>
        <v/>
      </c>
    </row>
    <row r="24">
      <c r="A24">
        <f>actuals!A24</f>
        <v/>
      </c>
      <c r="B24">
        <f>actuals!B24</f>
        <v/>
      </c>
      <c r="C24">
        <f>actuals!E24</f>
        <v/>
      </c>
      <c r="D24">
        <f>IF(actuals!G24="revenue",-1,1)*IFERROR(actuals!H24,VALUE(SUBSTITUTE(SUBSTITUTE(SUBSTITUTE(actuals!H24,"(","-"),")",""),",","")))</f>
        <v/>
      </c>
      <c r="E24">
        <f>INDEX(map!$B$2:$B$12,MATCH(actuals!E24,map!$A$2:$A$12,0))</f>
        <v/>
      </c>
      <c r="F24">
        <f>IF(COUNTIF($A$2:$A24,actuals!A24)=1,1,0)</f>
        <v/>
      </c>
      <c r="G24">
        <f>INDEX(map!$C$2:$C$12,MATCH(actuals!E24,map!$A$2:$A$12,0))</f>
        <v/>
      </c>
    </row>
    <row r="25">
      <c r="A25">
        <f>actuals!A25</f>
        <v/>
      </c>
      <c r="B25">
        <f>actuals!B25</f>
        <v/>
      </c>
      <c r="C25">
        <f>actuals!E25</f>
        <v/>
      </c>
      <c r="D25">
        <f>IF(actuals!G25="revenue",-1,1)*IFERROR(actuals!H25,VALUE(SUBSTITUTE(SUBSTITUTE(SUBSTITUTE(actuals!H25,"(","-"),")",""),",","")))</f>
        <v/>
      </c>
      <c r="E25">
        <f>INDEX(map!$B$2:$B$12,MATCH(actuals!E25,map!$A$2:$A$12,0))</f>
        <v/>
      </c>
      <c r="F25">
        <f>IF(COUNTIF($A$2:$A25,actuals!A25)=1,1,0)</f>
        <v/>
      </c>
      <c r="G25">
        <f>INDEX(map!$C$2:$C$12,MATCH(actuals!E25,map!$A$2:$A$12,0))</f>
        <v/>
      </c>
    </row>
    <row r="26">
      <c r="A26">
        <f>actuals!A26</f>
        <v/>
      </c>
      <c r="B26">
        <f>actuals!B26</f>
        <v/>
      </c>
      <c r="C26">
        <f>actuals!E26</f>
        <v/>
      </c>
      <c r="D26">
        <f>IF(actuals!G26="revenue",-1,1)*IFERROR(actuals!H26,VALUE(SUBSTITUTE(SUBSTITUTE(SUBSTITUTE(actuals!H26,"(","-"),")",""),",","")))</f>
        <v/>
      </c>
      <c r="E26">
        <f>INDEX(map!$B$2:$B$12,MATCH(actuals!E26,map!$A$2:$A$12,0))</f>
        <v/>
      </c>
      <c r="F26">
        <f>IF(COUNTIF($A$2:$A26,actuals!A26)=1,1,0)</f>
        <v/>
      </c>
      <c r="G26">
        <f>INDEX(map!$C$2:$C$12,MATCH(actuals!E26,map!$A$2:$A$12,0))</f>
        <v/>
      </c>
    </row>
    <row r="27">
      <c r="A27">
        <f>actuals!A27</f>
        <v/>
      </c>
      <c r="B27">
        <f>actuals!B27</f>
        <v/>
      </c>
      <c r="C27">
        <f>actuals!E27</f>
        <v/>
      </c>
      <c r="D27">
        <f>IF(actuals!G27="revenue",-1,1)*IFERROR(actuals!H27,VALUE(SUBSTITUTE(SUBSTITUTE(SUBSTITUTE(actuals!H27,"(","-"),")",""),",","")))</f>
        <v/>
      </c>
      <c r="E27">
        <f>INDEX(map!$B$2:$B$12,MATCH(actuals!E27,map!$A$2:$A$12,0))</f>
        <v/>
      </c>
      <c r="F27">
        <f>IF(COUNTIF($A$2:$A27,actuals!A27)=1,1,0)</f>
        <v/>
      </c>
      <c r="G27">
        <f>INDEX(map!$C$2:$C$12,MATCH(actuals!E27,map!$A$2:$A$12,0))</f>
        <v/>
      </c>
    </row>
    <row r="28">
      <c r="A28">
        <f>actuals!A28</f>
        <v/>
      </c>
      <c r="B28">
        <f>actuals!B28</f>
        <v/>
      </c>
      <c r="C28">
        <f>actuals!E28</f>
        <v/>
      </c>
      <c r="D28">
        <f>IF(actuals!G28="revenue",-1,1)*IFERROR(actuals!H28,VALUE(SUBSTITUTE(SUBSTITUTE(SUBSTITUTE(actuals!H28,"(","-"),")",""),",","")))</f>
        <v/>
      </c>
      <c r="E28">
        <f>INDEX(map!$B$2:$B$12,MATCH(actuals!E28,map!$A$2:$A$12,0))</f>
        <v/>
      </c>
      <c r="F28">
        <f>IF(COUNTIF($A$2:$A28,actuals!A28)=1,1,0)</f>
        <v/>
      </c>
      <c r="G28">
        <f>INDEX(map!$C$2:$C$12,MATCH(actuals!E28,map!$A$2:$A$12,0))</f>
        <v/>
      </c>
    </row>
    <row r="29">
      <c r="A29">
        <f>actuals!A29</f>
        <v/>
      </c>
      <c r="B29">
        <f>actuals!B29</f>
        <v/>
      </c>
      <c r="C29">
        <f>actuals!E29</f>
        <v/>
      </c>
      <c r="D29">
        <f>IF(actuals!G29="revenue",-1,1)*IFERROR(actuals!H29,VALUE(SUBSTITUTE(SUBSTITUTE(SUBSTITUTE(actuals!H29,"(","-"),")",""),",","")))</f>
        <v/>
      </c>
      <c r="E29">
        <f>INDEX(map!$B$2:$B$12,MATCH(actuals!E29,map!$A$2:$A$12,0))</f>
        <v/>
      </c>
      <c r="F29">
        <f>IF(COUNTIF($A$2:$A29,actuals!A29)=1,1,0)</f>
        <v/>
      </c>
      <c r="G29">
        <f>INDEX(map!$C$2:$C$12,MATCH(actuals!E29,map!$A$2:$A$12,0))</f>
        <v/>
      </c>
    </row>
    <row r="30">
      <c r="A30">
        <f>actuals!A30</f>
        <v/>
      </c>
      <c r="B30">
        <f>actuals!B30</f>
        <v/>
      </c>
      <c r="C30">
        <f>actuals!E30</f>
        <v/>
      </c>
      <c r="D30">
        <f>IF(actuals!G30="revenue",-1,1)*IFERROR(actuals!H30,VALUE(SUBSTITUTE(SUBSTITUTE(SUBSTITUTE(actuals!H30,"(","-"),")",""),",","")))</f>
        <v/>
      </c>
      <c r="E30">
        <f>INDEX(map!$B$2:$B$12,MATCH(actuals!E30,map!$A$2:$A$12,0))</f>
        <v/>
      </c>
      <c r="F30">
        <f>IF(COUNTIF($A$2:$A30,actuals!A30)=1,1,0)</f>
        <v/>
      </c>
      <c r="G30">
        <f>INDEX(map!$C$2:$C$12,MATCH(actuals!E30,map!$A$2:$A$12,0))</f>
        <v/>
      </c>
    </row>
    <row r="31">
      <c r="A31">
        <f>actuals!A31</f>
        <v/>
      </c>
      <c r="B31">
        <f>actuals!B31</f>
        <v/>
      </c>
      <c r="C31">
        <f>actuals!E31</f>
        <v/>
      </c>
      <c r="D31">
        <f>IF(actuals!G31="revenue",-1,1)*IFERROR(actuals!H31,VALUE(SUBSTITUTE(SUBSTITUTE(SUBSTITUTE(actuals!H31,"(","-"),")",""),",","")))</f>
        <v/>
      </c>
      <c r="E31">
        <f>INDEX(map!$B$2:$B$12,MATCH(actuals!E31,map!$A$2:$A$12,0))</f>
        <v/>
      </c>
      <c r="F31">
        <f>IF(COUNTIF($A$2:$A31,actuals!A31)=1,1,0)</f>
        <v/>
      </c>
      <c r="G31">
        <f>INDEX(map!$C$2:$C$12,MATCH(actuals!E31,map!$A$2:$A$12,0))</f>
        <v/>
      </c>
    </row>
    <row r="32">
      <c r="A32">
        <f>actuals!A32</f>
        <v/>
      </c>
      <c r="B32">
        <f>actuals!B32</f>
        <v/>
      </c>
      <c r="C32">
        <f>actuals!E32</f>
        <v/>
      </c>
      <c r="D32">
        <f>IF(actuals!G32="revenue",-1,1)*IFERROR(actuals!H32,VALUE(SUBSTITUTE(SUBSTITUTE(SUBSTITUTE(actuals!H32,"(","-"),")",""),",","")))</f>
        <v/>
      </c>
      <c r="E32">
        <f>INDEX(map!$B$2:$B$12,MATCH(actuals!E32,map!$A$2:$A$12,0))</f>
        <v/>
      </c>
      <c r="F32">
        <f>IF(COUNTIF($A$2:$A32,actuals!A32)=1,1,0)</f>
        <v/>
      </c>
      <c r="G32">
        <f>INDEX(map!$C$2:$C$12,MATCH(actuals!E32,map!$A$2:$A$12,0))</f>
        <v/>
      </c>
    </row>
    <row r="33">
      <c r="A33">
        <f>actuals!A33</f>
        <v/>
      </c>
      <c r="B33">
        <f>actuals!B33</f>
        <v/>
      </c>
      <c r="C33">
        <f>actuals!E33</f>
        <v/>
      </c>
      <c r="D33">
        <f>IF(actuals!G33="revenue",-1,1)*IFERROR(actuals!H33,VALUE(SUBSTITUTE(SUBSTITUTE(SUBSTITUTE(actuals!H33,"(","-"),")",""),",","")))</f>
        <v/>
      </c>
      <c r="E33">
        <f>INDEX(map!$B$2:$B$12,MATCH(actuals!E33,map!$A$2:$A$12,0))</f>
        <v/>
      </c>
      <c r="F33">
        <f>IF(COUNTIF($A$2:$A33,actuals!A33)=1,1,0)</f>
        <v/>
      </c>
      <c r="G33">
        <f>INDEX(map!$C$2:$C$12,MATCH(actuals!E33,map!$A$2:$A$12,0))</f>
        <v/>
      </c>
    </row>
    <row r="34">
      <c r="A34">
        <f>actuals!A34</f>
        <v/>
      </c>
      <c r="B34">
        <f>actuals!B34</f>
        <v/>
      </c>
      <c r="C34">
        <f>actuals!E34</f>
        <v/>
      </c>
      <c r="D34">
        <f>IF(actuals!G34="revenue",-1,1)*IFERROR(actuals!H34,VALUE(SUBSTITUTE(SUBSTITUTE(SUBSTITUTE(actuals!H34,"(","-"),")",""),",","")))</f>
        <v/>
      </c>
      <c r="E34">
        <f>INDEX(map!$B$2:$B$12,MATCH(actuals!E34,map!$A$2:$A$12,0))</f>
        <v/>
      </c>
      <c r="F34">
        <f>IF(COUNTIF($A$2:$A34,actuals!A34)=1,1,0)</f>
        <v/>
      </c>
      <c r="G34">
        <f>INDEX(map!$C$2:$C$12,MATCH(actuals!E34,map!$A$2:$A$12,0))</f>
        <v/>
      </c>
    </row>
    <row r="35">
      <c r="A35">
        <f>actuals!A35</f>
        <v/>
      </c>
      <c r="B35">
        <f>actuals!B35</f>
        <v/>
      </c>
      <c r="C35">
        <f>actuals!E35</f>
        <v/>
      </c>
      <c r="D35">
        <f>IF(actuals!G35="revenue",-1,1)*IFERROR(actuals!H35,VALUE(SUBSTITUTE(SUBSTITUTE(SUBSTITUTE(actuals!H35,"(","-"),")",""),",","")))</f>
        <v/>
      </c>
      <c r="E35">
        <f>INDEX(map!$B$2:$B$12,MATCH(actuals!E35,map!$A$2:$A$12,0))</f>
        <v/>
      </c>
      <c r="F35">
        <f>IF(COUNTIF($A$2:$A35,actuals!A35)=1,1,0)</f>
        <v/>
      </c>
      <c r="G35">
        <f>INDEX(map!$C$2:$C$12,MATCH(actuals!E35,map!$A$2:$A$12,0))</f>
        <v/>
      </c>
    </row>
    <row r="36">
      <c r="A36">
        <f>actuals!A36</f>
        <v/>
      </c>
      <c r="B36">
        <f>actuals!B36</f>
        <v/>
      </c>
      <c r="C36">
        <f>actuals!E36</f>
        <v/>
      </c>
      <c r="D36">
        <f>IF(actuals!G36="revenue",-1,1)*IFERROR(actuals!H36,VALUE(SUBSTITUTE(SUBSTITUTE(SUBSTITUTE(actuals!H36,"(","-"),")",""),",","")))</f>
        <v/>
      </c>
      <c r="E36">
        <f>INDEX(map!$B$2:$B$12,MATCH(actuals!E36,map!$A$2:$A$12,0))</f>
        <v/>
      </c>
      <c r="F36">
        <f>IF(COUNTIF($A$2:$A36,actuals!A36)=1,1,0)</f>
        <v/>
      </c>
      <c r="G36">
        <f>INDEX(map!$C$2:$C$12,MATCH(actuals!E36,map!$A$2:$A$12,0))</f>
        <v/>
      </c>
    </row>
    <row r="37">
      <c r="A37">
        <f>actuals!A37</f>
        <v/>
      </c>
      <c r="B37">
        <f>actuals!B37</f>
        <v/>
      </c>
      <c r="C37">
        <f>actuals!E37</f>
        <v/>
      </c>
      <c r="D37">
        <f>IF(actuals!G37="revenue",-1,1)*IFERROR(actuals!H37,VALUE(SUBSTITUTE(SUBSTITUTE(SUBSTITUTE(actuals!H37,"(","-"),")",""),",","")))</f>
        <v/>
      </c>
      <c r="E37">
        <f>INDEX(map!$B$2:$B$12,MATCH(actuals!E37,map!$A$2:$A$12,0))</f>
        <v/>
      </c>
      <c r="F37">
        <f>IF(COUNTIF($A$2:$A37,actuals!A37)=1,1,0)</f>
        <v/>
      </c>
      <c r="G37">
        <f>INDEX(map!$C$2:$C$12,MATCH(actuals!E37,map!$A$2:$A$12,0))</f>
        <v/>
      </c>
    </row>
    <row r="38">
      <c r="A38">
        <f>actuals!A38</f>
        <v/>
      </c>
      <c r="B38">
        <f>actuals!B38</f>
        <v/>
      </c>
      <c r="C38">
        <f>actuals!E38</f>
        <v/>
      </c>
      <c r="D38">
        <f>IF(actuals!G38="revenue",-1,1)*IFERROR(actuals!H38,VALUE(SUBSTITUTE(SUBSTITUTE(SUBSTITUTE(actuals!H38,"(","-"),")",""),",","")))</f>
        <v/>
      </c>
      <c r="E38">
        <f>INDEX(map!$B$2:$B$12,MATCH(actuals!E38,map!$A$2:$A$12,0))</f>
        <v/>
      </c>
      <c r="F38">
        <f>IF(COUNTIF($A$2:$A38,actuals!A38)=1,1,0)</f>
        <v/>
      </c>
      <c r="G38">
        <f>INDEX(map!$C$2:$C$12,MATCH(actuals!E38,map!$A$2:$A$12,0))</f>
        <v/>
      </c>
    </row>
    <row r="39">
      <c r="A39">
        <f>actuals!A39</f>
        <v/>
      </c>
      <c r="B39">
        <f>actuals!B39</f>
        <v/>
      </c>
      <c r="C39">
        <f>actuals!E39</f>
        <v/>
      </c>
      <c r="D39">
        <f>IF(actuals!G39="revenue",-1,1)*IFERROR(actuals!H39,VALUE(SUBSTITUTE(SUBSTITUTE(SUBSTITUTE(actuals!H39,"(","-"),")",""),",","")))</f>
        <v/>
      </c>
      <c r="E39">
        <f>INDEX(map!$B$2:$B$12,MATCH(actuals!E39,map!$A$2:$A$12,0))</f>
        <v/>
      </c>
      <c r="F39">
        <f>IF(COUNTIF($A$2:$A39,actuals!A39)=1,1,0)</f>
        <v/>
      </c>
      <c r="G39">
        <f>INDEX(map!$C$2:$C$12,MATCH(actuals!E39,map!$A$2:$A$12,0))</f>
        <v/>
      </c>
    </row>
    <row r="40">
      <c r="A40">
        <f>actuals!A40</f>
        <v/>
      </c>
      <c r="B40">
        <f>actuals!B40</f>
        <v/>
      </c>
      <c r="C40">
        <f>actuals!E40</f>
        <v/>
      </c>
      <c r="D40">
        <f>IF(actuals!G40="revenue",-1,1)*IFERROR(actuals!H40,VALUE(SUBSTITUTE(SUBSTITUTE(SUBSTITUTE(actuals!H40,"(","-"),")",""),",","")))</f>
        <v/>
      </c>
      <c r="E40">
        <f>INDEX(map!$B$2:$B$12,MATCH(actuals!E40,map!$A$2:$A$12,0))</f>
        <v/>
      </c>
      <c r="F40">
        <f>IF(COUNTIF($A$2:$A40,actuals!A40)=1,1,0)</f>
        <v/>
      </c>
      <c r="G40">
        <f>INDEX(map!$C$2:$C$12,MATCH(actuals!E40,map!$A$2:$A$12,0))</f>
        <v/>
      </c>
    </row>
    <row r="41">
      <c r="A41">
        <f>actuals!A41</f>
        <v/>
      </c>
      <c r="B41">
        <f>actuals!B41</f>
        <v/>
      </c>
      <c r="C41">
        <f>actuals!E41</f>
        <v/>
      </c>
      <c r="D41">
        <f>IF(actuals!G41="revenue",-1,1)*IFERROR(actuals!H41,VALUE(SUBSTITUTE(SUBSTITUTE(SUBSTITUTE(actuals!H41,"(","-"),")",""),",","")))</f>
        <v/>
      </c>
      <c r="E41">
        <f>INDEX(map!$B$2:$B$12,MATCH(actuals!E41,map!$A$2:$A$12,0))</f>
        <v/>
      </c>
      <c r="F41">
        <f>IF(COUNTIF($A$2:$A41,actuals!A41)=1,1,0)</f>
        <v/>
      </c>
      <c r="G41">
        <f>INDEX(map!$C$2:$C$12,MATCH(actuals!E41,map!$A$2:$A$12,0))</f>
        <v/>
      </c>
    </row>
    <row r="42">
      <c r="A42">
        <f>actuals!A42</f>
        <v/>
      </c>
      <c r="B42">
        <f>actuals!B42</f>
        <v/>
      </c>
      <c r="C42">
        <f>actuals!E42</f>
        <v/>
      </c>
      <c r="D42">
        <f>IF(actuals!G42="revenue",-1,1)*IFERROR(actuals!H42,VALUE(SUBSTITUTE(SUBSTITUTE(SUBSTITUTE(actuals!H42,"(","-"),")",""),",","")))</f>
        <v/>
      </c>
      <c r="E42">
        <f>INDEX(map!$B$2:$B$12,MATCH(actuals!E42,map!$A$2:$A$12,0))</f>
        <v/>
      </c>
      <c r="F42">
        <f>IF(COUNTIF($A$2:$A42,actuals!A42)=1,1,0)</f>
        <v/>
      </c>
      <c r="G42">
        <f>INDEX(map!$C$2:$C$12,MATCH(actuals!E42,map!$A$2:$A$12,0))</f>
        <v/>
      </c>
    </row>
    <row r="43">
      <c r="A43">
        <f>actuals!A43</f>
        <v/>
      </c>
      <c r="B43">
        <f>actuals!B43</f>
        <v/>
      </c>
      <c r="C43">
        <f>actuals!E43</f>
        <v/>
      </c>
      <c r="D43">
        <f>IF(actuals!G43="revenue",-1,1)*IFERROR(actuals!H43,VALUE(SUBSTITUTE(SUBSTITUTE(SUBSTITUTE(actuals!H43,"(","-"),")",""),",","")))</f>
        <v/>
      </c>
      <c r="E43">
        <f>INDEX(map!$B$2:$B$12,MATCH(actuals!E43,map!$A$2:$A$12,0))</f>
        <v/>
      </c>
      <c r="F43">
        <f>IF(COUNTIF($A$2:$A43,actuals!A43)=1,1,0)</f>
        <v/>
      </c>
      <c r="G43">
        <f>INDEX(map!$C$2:$C$12,MATCH(actuals!E43,map!$A$2:$A$12,0))</f>
        <v/>
      </c>
    </row>
    <row r="44">
      <c r="A44">
        <f>actuals!A44</f>
        <v/>
      </c>
      <c r="B44">
        <f>actuals!B44</f>
        <v/>
      </c>
      <c r="C44">
        <f>actuals!E44</f>
        <v/>
      </c>
      <c r="D44">
        <f>IF(actuals!G44="revenue",-1,1)*IFERROR(actuals!H44,VALUE(SUBSTITUTE(SUBSTITUTE(SUBSTITUTE(actuals!H44,"(","-"),")",""),",","")))</f>
        <v/>
      </c>
      <c r="E44">
        <f>INDEX(map!$B$2:$B$12,MATCH(actuals!E44,map!$A$2:$A$12,0))</f>
        <v/>
      </c>
      <c r="F44">
        <f>IF(COUNTIF($A$2:$A44,actuals!A44)=1,1,0)</f>
        <v/>
      </c>
      <c r="G44">
        <f>INDEX(map!$C$2:$C$12,MATCH(actuals!E44,map!$A$2:$A$12,0))</f>
        <v/>
      </c>
    </row>
    <row r="45">
      <c r="A45">
        <f>actuals!A45</f>
        <v/>
      </c>
      <c r="B45">
        <f>actuals!B45</f>
        <v/>
      </c>
      <c r="C45">
        <f>actuals!E45</f>
        <v/>
      </c>
      <c r="D45">
        <f>IF(actuals!G45="revenue",-1,1)*IFERROR(actuals!H45,VALUE(SUBSTITUTE(SUBSTITUTE(SUBSTITUTE(actuals!H45,"(","-"),")",""),",","")))</f>
        <v/>
      </c>
      <c r="E45">
        <f>INDEX(map!$B$2:$B$12,MATCH(actuals!E45,map!$A$2:$A$12,0))</f>
        <v/>
      </c>
      <c r="F45">
        <f>IF(COUNTIF($A$2:$A45,actuals!A45)=1,1,0)</f>
        <v/>
      </c>
      <c r="G45">
        <f>INDEX(map!$C$2:$C$12,MATCH(actuals!E45,map!$A$2:$A$12,0))</f>
        <v/>
      </c>
    </row>
    <row r="46">
      <c r="A46">
        <f>actuals!A46</f>
        <v/>
      </c>
      <c r="B46">
        <f>actuals!B46</f>
        <v/>
      </c>
      <c r="C46">
        <f>actuals!E46</f>
        <v/>
      </c>
      <c r="D46">
        <f>IF(actuals!G46="revenue",-1,1)*IFERROR(actuals!H46,VALUE(SUBSTITUTE(SUBSTITUTE(SUBSTITUTE(actuals!H46,"(","-"),")",""),",","")))</f>
        <v/>
      </c>
      <c r="E46">
        <f>INDEX(map!$B$2:$B$12,MATCH(actuals!E46,map!$A$2:$A$12,0))</f>
        <v/>
      </c>
      <c r="F46">
        <f>IF(COUNTIF($A$2:$A46,actuals!A46)=1,1,0)</f>
        <v/>
      </c>
      <c r="G46">
        <f>INDEX(map!$C$2:$C$12,MATCH(actuals!E46,map!$A$2:$A$12,0))</f>
        <v/>
      </c>
    </row>
    <row r="47">
      <c r="A47">
        <f>actuals!A47</f>
        <v/>
      </c>
      <c r="B47">
        <f>actuals!B47</f>
        <v/>
      </c>
      <c r="C47">
        <f>actuals!E47</f>
        <v/>
      </c>
      <c r="D47">
        <f>IF(actuals!G47="revenue",-1,1)*IFERROR(actuals!H47,VALUE(SUBSTITUTE(SUBSTITUTE(SUBSTITUTE(actuals!H47,"(","-"),")",""),",","")))</f>
        <v/>
      </c>
      <c r="E47">
        <f>INDEX(map!$B$2:$B$12,MATCH(actuals!E47,map!$A$2:$A$12,0))</f>
        <v/>
      </c>
      <c r="F47">
        <f>IF(COUNTIF($A$2:$A47,actuals!A47)=1,1,0)</f>
        <v/>
      </c>
      <c r="G47">
        <f>INDEX(map!$C$2:$C$12,MATCH(actuals!E47,map!$A$2:$A$12,0))</f>
        <v/>
      </c>
    </row>
    <row r="48">
      <c r="A48">
        <f>actuals!A48</f>
        <v/>
      </c>
      <c r="B48">
        <f>actuals!B48</f>
        <v/>
      </c>
      <c r="C48">
        <f>actuals!E48</f>
        <v/>
      </c>
      <c r="D48">
        <f>IF(actuals!G48="revenue",-1,1)*IFERROR(actuals!H48,VALUE(SUBSTITUTE(SUBSTITUTE(SUBSTITUTE(actuals!H48,"(","-"),")",""),",","")))</f>
        <v/>
      </c>
      <c r="E48">
        <f>INDEX(map!$B$2:$B$12,MATCH(actuals!E48,map!$A$2:$A$12,0))</f>
        <v/>
      </c>
      <c r="F48">
        <f>IF(COUNTIF($A$2:$A48,actuals!A48)=1,1,0)</f>
        <v/>
      </c>
      <c r="G48">
        <f>INDEX(map!$C$2:$C$12,MATCH(actuals!E48,map!$A$2:$A$12,0))</f>
        <v/>
      </c>
    </row>
    <row r="49">
      <c r="A49">
        <f>actuals!A49</f>
        <v/>
      </c>
      <c r="B49">
        <f>actuals!B49</f>
        <v/>
      </c>
      <c r="C49">
        <f>actuals!E49</f>
        <v/>
      </c>
      <c r="D49">
        <f>IF(actuals!G49="revenue",-1,1)*IFERROR(actuals!H49,VALUE(SUBSTITUTE(SUBSTITUTE(SUBSTITUTE(actuals!H49,"(","-"),")",""),",","")))</f>
        <v/>
      </c>
      <c r="E49">
        <f>INDEX(map!$B$2:$B$12,MATCH(actuals!E49,map!$A$2:$A$12,0))</f>
        <v/>
      </c>
      <c r="F49">
        <f>IF(COUNTIF($A$2:$A49,actuals!A49)=1,1,0)</f>
        <v/>
      </c>
      <c r="G49">
        <f>INDEX(map!$C$2:$C$12,MATCH(actuals!E49,map!$A$2:$A$12,0))</f>
        <v/>
      </c>
    </row>
    <row r="50">
      <c r="A50">
        <f>actuals!A50</f>
        <v/>
      </c>
      <c r="B50">
        <f>actuals!B50</f>
        <v/>
      </c>
      <c r="C50">
        <f>actuals!E50</f>
        <v/>
      </c>
      <c r="D50">
        <f>IF(actuals!G50="revenue",-1,1)*IFERROR(actuals!H50,VALUE(SUBSTITUTE(SUBSTITUTE(SUBSTITUTE(actuals!H50,"(","-"),")",""),",","")))</f>
        <v/>
      </c>
      <c r="E50">
        <f>INDEX(map!$B$2:$B$12,MATCH(actuals!E50,map!$A$2:$A$12,0))</f>
        <v/>
      </c>
      <c r="F50">
        <f>IF(COUNTIF($A$2:$A50,actuals!A50)=1,1,0)</f>
        <v/>
      </c>
      <c r="G50">
        <f>INDEX(map!$C$2:$C$12,MATCH(actuals!E50,map!$A$2:$A$12,0))</f>
        <v/>
      </c>
    </row>
    <row r="51">
      <c r="A51">
        <f>actuals!A51</f>
        <v/>
      </c>
      <c r="B51">
        <f>actuals!B51</f>
        <v/>
      </c>
      <c r="C51">
        <f>actuals!E51</f>
        <v/>
      </c>
      <c r="D51">
        <f>IF(actuals!G51="revenue",-1,1)*IFERROR(actuals!H51,VALUE(SUBSTITUTE(SUBSTITUTE(SUBSTITUTE(actuals!H51,"(","-"),")",""),",","")))</f>
        <v/>
      </c>
      <c r="E51">
        <f>INDEX(map!$B$2:$B$12,MATCH(actuals!E51,map!$A$2:$A$12,0))</f>
        <v/>
      </c>
      <c r="F51">
        <f>IF(COUNTIF($A$2:$A51,actuals!A51)=1,1,0)</f>
        <v/>
      </c>
      <c r="G51">
        <f>INDEX(map!$C$2:$C$12,MATCH(actuals!E51,map!$A$2:$A$12,0))</f>
        <v/>
      </c>
    </row>
    <row r="52">
      <c r="A52">
        <f>actuals!A52</f>
        <v/>
      </c>
      <c r="B52">
        <f>actuals!B52</f>
        <v/>
      </c>
      <c r="C52">
        <f>actuals!E52</f>
        <v/>
      </c>
      <c r="D52">
        <f>IF(actuals!G52="revenue",-1,1)*IFERROR(actuals!H52,VALUE(SUBSTITUTE(SUBSTITUTE(SUBSTITUTE(actuals!H52,"(","-"),")",""),",","")))</f>
        <v/>
      </c>
      <c r="E52">
        <f>INDEX(map!$B$2:$B$12,MATCH(actuals!E52,map!$A$2:$A$12,0))</f>
        <v/>
      </c>
      <c r="F52">
        <f>IF(COUNTIF($A$2:$A52,actuals!A52)=1,1,0)</f>
        <v/>
      </c>
      <c r="G52">
        <f>INDEX(map!$C$2:$C$12,MATCH(actuals!E52,map!$A$2:$A$12,0))</f>
        <v/>
      </c>
    </row>
    <row r="53">
      <c r="A53">
        <f>actuals!A53</f>
        <v/>
      </c>
      <c r="B53">
        <f>actuals!B53</f>
        <v/>
      </c>
      <c r="C53">
        <f>actuals!E53</f>
        <v/>
      </c>
      <c r="D53">
        <f>IF(actuals!G53="revenue",-1,1)*IFERROR(actuals!H53,VALUE(SUBSTITUTE(SUBSTITUTE(SUBSTITUTE(actuals!H53,"(","-"),")",""),",","")))</f>
        <v/>
      </c>
      <c r="E53">
        <f>INDEX(map!$B$2:$B$12,MATCH(actuals!E53,map!$A$2:$A$12,0))</f>
        <v/>
      </c>
      <c r="F53">
        <f>IF(COUNTIF($A$2:$A53,actuals!A53)=1,1,0)</f>
        <v/>
      </c>
      <c r="G53">
        <f>INDEX(map!$C$2:$C$12,MATCH(actuals!E53,map!$A$2:$A$12,0))</f>
        <v/>
      </c>
    </row>
    <row r="54">
      <c r="A54">
        <f>actuals!A54</f>
        <v/>
      </c>
      <c r="B54">
        <f>actuals!B54</f>
        <v/>
      </c>
      <c r="C54">
        <f>actuals!E54</f>
        <v/>
      </c>
      <c r="D54">
        <f>IF(actuals!G54="revenue",-1,1)*IFERROR(actuals!H54,VALUE(SUBSTITUTE(SUBSTITUTE(SUBSTITUTE(actuals!H54,"(","-"),")",""),",","")))</f>
        <v/>
      </c>
      <c r="E54">
        <f>INDEX(map!$B$2:$B$12,MATCH(actuals!E54,map!$A$2:$A$12,0))</f>
        <v/>
      </c>
      <c r="F54">
        <f>IF(COUNTIF($A$2:$A54,actuals!A54)=1,1,0)</f>
        <v/>
      </c>
      <c r="G54">
        <f>INDEX(map!$C$2:$C$12,MATCH(actuals!E54,map!$A$2:$A$12,0))</f>
        <v/>
      </c>
    </row>
    <row r="55">
      <c r="A55">
        <f>actuals!A55</f>
        <v/>
      </c>
      <c r="B55">
        <f>actuals!B55</f>
        <v/>
      </c>
      <c r="C55">
        <f>actuals!E55</f>
        <v/>
      </c>
      <c r="D55">
        <f>IF(actuals!G55="revenue",-1,1)*IFERROR(actuals!H55,VALUE(SUBSTITUTE(SUBSTITUTE(SUBSTITUTE(actuals!H55,"(","-"),")",""),",","")))</f>
        <v/>
      </c>
      <c r="E55">
        <f>INDEX(map!$B$2:$B$12,MATCH(actuals!E55,map!$A$2:$A$12,0))</f>
        <v/>
      </c>
      <c r="F55">
        <f>IF(COUNTIF($A$2:$A55,actuals!A55)=1,1,0)</f>
        <v/>
      </c>
      <c r="G55">
        <f>INDEX(map!$C$2:$C$12,MATCH(actuals!E55,map!$A$2:$A$12,0))</f>
        <v/>
      </c>
    </row>
    <row r="56">
      <c r="A56">
        <f>actuals!A56</f>
        <v/>
      </c>
      <c r="B56">
        <f>actuals!B56</f>
        <v/>
      </c>
      <c r="C56">
        <f>actuals!E56</f>
        <v/>
      </c>
      <c r="D56">
        <f>IF(actuals!G56="revenue",-1,1)*IFERROR(actuals!H56,VALUE(SUBSTITUTE(SUBSTITUTE(SUBSTITUTE(actuals!H56,"(","-"),")",""),",","")))</f>
        <v/>
      </c>
      <c r="E56">
        <f>INDEX(map!$B$2:$B$12,MATCH(actuals!E56,map!$A$2:$A$12,0))</f>
        <v/>
      </c>
      <c r="F56">
        <f>IF(COUNTIF($A$2:$A56,actuals!A56)=1,1,0)</f>
        <v/>
      </c>
      <c r="G56">
        <f>INDEX(map!$C$2:$C$12,MATCH(actuals!E56,map!$A$2:$A$12,0))</f>
        <v/>
      </c>
    </row>
    <row r="57">
      <c r="A57">
        <f>actuals!A57</f>
        <v/>
      </c>
      <c r="B57">
        <f>actuals!B57</f>
        <v/>
      </c>
      <c r="C57">
        <f>actuals!E57</f>
        <v/>
      </c>
      <c r="D57">
        <f>IF(actuals!G57="revenue",-1,1)*IFERROR(actuals!H57,VALUE(SUBSTITUTE(SUBSTITUTE(SUBSTITUTE(actuals!H57,"(","-"),")",""),",","")))</f>
        <v/>
      </c>
      <c r="E57">
        <f>INDEX(map!$B$2:$B$12,MATCH(actuals!E57,map!$A$2:$A$12,0))</f>
        <v/>
      </c>
      <c r="F57">
        <f>IF(COUNTIF($A$2:$A57,actuals!A57)=1,1,0)</f>
        <v/>
      </c>
      <c r="G57">
        <f>INDEX(map!$C$2:$C$12,MATCH(actuals!E57,map!$A$2:$A$12,0))</f>
        <v/>
      </c>
    </row>
    <row r="58">
      <c r="A58">
        <f>actuals!A58</f>
        <v/>
      </c>
      <c r="B58">
        <f>actuals!B58</f>
        <v/>
      </c>
      <c r="C58">
        <f>actuals!E58</f>
        <v/>
      </c>
      <c r="D58">
        <f>IF(actuals!G58="revenue",-1,1)*IFERROR(actuals!H58,VALUE(SUBSTITUTE(SUBSTITUTE(SUBSTITUTE(actuals!H58,"(","-"),")",""),",","")))</f>
        <v/>
      </c>
      <c r="E58">
        <f>INDEX(map!$B$2:$B$12,MATCH(actuals!E58,map!$A$2:$A$12,0))</f>
        <v/>
      </c>
      <c r="F58">
        <f>IF(COUNTIF($A$2:$A58,actuals!A58)=1,1,0)</f>
        <v/>
      </c>
      <c r="G58">
        <f>INDEX(map!$C$2:$C$12,MATCH(actuals!E58,map!$A$2:$A$12,0))</f>
        <v/>
      </c>
    </row>
    <row r="59">
      <c r="A59">
        <f>actuals!A59</f>
        <v/>
      </c>
      <c r="B59">
        <f>actuals!B59</f>
        <v/>
      </c>
      <c r="C59">
        <f>actuals!E59</f>
        <v/>
      </c>
      <c r="D59">
        <f>IF(actuals!G59="revenue",-1,1)*IFERROR(actuals!H59,VALUE(SUBSTITUTE(SUBSTITUTE(SUBSTITUTE(actuals!H59,"(","-"),")",""),",","")))</f>
        <v/>
      </c>
      <c r="E59">
        <f>INDEX(map!$B$2:$B$12,MATCH(actuals!E59,map!$A$2:$A$12,0))</f>
        <v/>
      </c>
      <c r="F59">
        <f>IF(COUNTIF($A$2:$A59,actuals!A59)=1,1,0)</f>
        <v/>
      </c>
      <c r="G59">
        <f>INDEX(map!$C$2:$C$12,MATCH(actuals!E59,map!$A$2:$A$12,0))</f>
        <v/>
      </c>
    </row>
    <row r="60">
      <c r="A60">
        <f>actuals!A60</f>
        <v/>
      </c>
      <c r="B60">
        <f>actuals!B60</f>
        <v/>
      </c>
      <c r="C60">
        <f>actuals!E60</f>
        <v/>
      </c>
      <c r="D60">
        <f>IF(actuals!G60="revenue",-1,1)*IFERROR(actuals!H60,VALUE(SUBSTITUTE(SUBSTITUTE(SUBSTITUTE(actuals!H60,"(","-"),")",""),",","")))</f>
        <v/>
      </c>
      <c r="E60">
        <f>INDEX(map!$B$2:$B$12,MATCH(actuals!E60,map!$A$2:$A$12,0))</f>
        <v/>
      </c>
      <c r="F60">
        <f>IF(COUNTIF($A$2:$A60,actuals!A60)=1,1,0)</f>
        <v/>
      </c>
      <c r="G60">
        <f>INDEX(map!$C$2:$C$12,MATCH(actuals!E60,map!$A$2:$A$12,0))</f>
        <v/>
      </c>
    </row>
    <row r="61">
      <c r="A61">
        <f>actuals!A61</f>
        <v/>
      </c>
      <c r="B61">
        <f>actuals!B61</f>
        <v/>
      </c>
      <c r="C61">
        <f>actuals!E61</f>
        <v/>
      </c>
      <c r="D61">
        <f>IF(actuals!G61="revenue",-1,1)*IFERROR(actuals!H61,VALUE(SUBSTITUTE(SUBSTITUTE(SUBSTITUTE(actuals!H61,"(","-"),")",""),",","")))</f>
        <v/>
      </c>
      <c r="E61">
        <f>INDEX(map!$B$2:$B$12,MATCH(actuals!E61,map!$A$2:$A$12,0))</f>
        <v/>
      </c>
      <c r="F61">
        <f>IF(COUNTIF($A$2:$A61,actuals!A61)=1,1,0)</f>
        <v/>
      </c>
      <c r="G61">
        <f>INDEX(map!$C$2:$C$12,MATCH(actuals!E61,map!$A$2:$A$12,0))</f>
        <v/>
      </c>
    </row>
    <row r="62">
      <c r="A62">
        <f>actuals!A62</f>
        <v/>
      </c>
      <c r="B62">
        <f>actuals!B62</f>
        <v/>
      </c>
      <c r="C62">
        <f>actuals!E62</f>
        <v/>
      </c>
      <c r="D62">
        <f>IF(actuals!G62="revenue",-1,1)*IFERROR(actuals!H62,VALUE(SUBSTITUTE(SUBSTITUTE(SUBSTITUTE(actuals!H62,"(","-"),")",""),",","")))</f>
        <v/>
      </c>
      <c r="E62">
        <f>INDEX(map!$B$2:$B$12,MATCH(actuals!E62,map!$A$2:$A$12,0))</f>
        <v/>
      </c>
      <c r="F62">
        <f>IF(COUNTIF($A$2:$A62,actuals!A62)=1,1,0)</f>
        <v/>
      </c>
      <c r="G62">
        <f>INDEX(map!$C$2:$C$12,MATCH(actuals!E62,map!$A$2:$A$12,0))</f>
        <v/>
      </c>
    </row>
    <row r="63">
      <c r="A63">
        <f>actuals!A63</f>
        <v/>
      </c>
      <c r="B63">
        <f>actuals!B63</f>
        <v/>
      </c>
      <c r="C63">
        <f>actuals!E63</f>
        <v/>
      </c>
      <c r="D63">
        <f>IF(actuals!G63="revenue",-1,1)*IFERROR(actuals!H63,VALUE(SUBSTITUTE(SUBSTITUTE(SUBSTITUTE(actuals!H63,"(","-"),")",""),",","")))</f>
        <v/>
      </c>
      <c r="E63">
        <f>INDEX(map!$B$2:$B$12,MATCH(actuals!E63,map!$A$2:$A$12,0))</f>
        <v/>
      </c>
      <c r="F63">
        <f>IF(COUNTIF($A$2:$A63,actuals!A63)=1,1,0)</f>
        <v/>
      </c>
      <c r="G63">
        <f>INDEX(map!$C$2:$C$12,MATCH(actuals!E63,map!$A$2:$A$12,0))</f>
        <v/>
      </c>
    </row>
    <row r="64">
      <c r="A64">
        <f>actuals!A64</f>
        <v/>
      </c>
      <c r="B64">
        <f>actuals!B64</f>
        <v/>
      </c>
      <c r="C64">
        <f>actuals!E64</f>
        <v/>
      </c>
      <c r="D64">
        <f>IF(actuals!G64="revenue",-1,1)*IFERROR(actuals!H64,VALUE(SUBSTITUTE(SUBSTITUTE(SUBSTITUTE(actuals!H64,"(","-"),")",""),",","")))</f>
        <v/>
      </c>
      <c r="E64">
        <f>INDEX(map!$B$2:$B$12,MATCH(actuals!E64,map!$A$2:$A$12,0))</f>
        <v/>
      </c>
      <c r="F64">
        <f>IF(COUNTIF($A$2:$A64,actuals!A64)=1,1,0)</f>
        <v/>
      </c>
      <c r="G64">
        <f>INDEX(map!$C$2:$C$12,MATCH(actuals!E64,map!$A$2:$A$12,0))</f>
        <v/>
      </c>
    </row>
    <row r="65">
      <c r="A65">
        <f>actuals!A65</f>
        <v/>
      </c>
      <c r="B65">
        <f>actuals!B65</f>
        <v/>
      </c>
      <c r="C65">
        <f>actuals!E65</f>
        <v/>
      </c>
      <c r="D65">
        <f>IF(actuals!G65="revenue",-1,1)*IFERROR(actuals!H65,VALUE(SUBSTITUTE(SUBSTITUTE(SUBSTITUTE(actuals!H65,"(","-"),")",""),",","")))</f>
        <v/>
      </c>
      <c r="E65">
        <f>INDEX(map!$B$2:$B$12,MATCH(actuals!E65,map!$A$2:$A$12,0))</f>
        <v/>
      </c>
      <c r="F65">
        <f>IF(COUNTIF($A$2:$A65,actuals!A65)=1,1,0)</f>
        <v/>
      </c>
      <c r="G65">
        <f>INDEX(map!$C$2:$C$12,MATCH(actuals!E65,map!$A$2:$A$12,0))</f>
        <v/>
      </c>
    </row>
    <row r="66">
      <c r="A66">
        <f>actuals!A66</f>
        <v/>
      </c>
      <c r="B66">
        <f>actuals!B66</f>
        <v/>
      </c>
      <c r="C66">
        <f>actuals!E66</f>
        <v/>
      </c>
      <c r="D66">
        <f>IF(actuals!G66="revenue",-1,1)*IFERROR(actuals!H66,VALUE(SUBSTITUTE(SUBSTITUTE(SUBSTITUTE(actuals!H66,"(","-"),")",""),",","")))</f>
        <v/>
      </c>
      <c r="E66">
        <f>INDEX(map!$B$2:$B$12,MATCH(actuals!E66,map!$A$2:$A$12,0))</f>
        <v/>
      </c>
      <c r="F66">
        <f>IF(COUNTIF($A$2:$A66,actuals!A66)=1,1,0)</f>
        <v/>
      </c>
      <c r="G66">
        <f>INDEX(map!$C$2:$C$12,MATCH(actuals!E66,map!$A$2:$A$12,0))</f>
        <v/>
      </c>
    </row>
    <row r="67">
      <c r="A67">
        <f>actuals!A67</f>
        <v/>
      </c>
      <c r="B67">
        <f>actuals!B67</f>
        <v/>
      </c>
      <c r="C67">
        <f>actuals!E67</f>
        <v/>
      </c>
      <c r="D67">
        <f>IF(actuals!G67="revenue",-1,1)*IFERROR(actuals!H67,VALUE(SUBSTITUTE(SUBSTITUTE(SUBSTITUTE(actuals!H67,"(","-"),")",""),",","")))</f>
        <v/>
      </c>
      <c r="E67">
        <f>INDEX(map!$B$2:$B$12,MATCH(actuals!E67,map!$A$2:$A$12,0))</f>
        <v/>
      </c>
      <c r="F67">
        <f>IF(COUNTIF($A$2:$A67,actuals!A67)=1,1,0)</f>
        <v/>
      </c>
      <c r="G67">
        <f>INDEX(map!$C$2:$C$12,MATCH(actuals!E67,map!$A$2:$A$12,0))</f>
        <v/>
      </c>
    </row>
    <row r="68">
      <c r="A68">
        <f>actuals!A68</f>
        <v/>
      </c>
      <c r="B68">
        <f>actuals!B68</f>
        <v/>
      </c>
      <c r="C68">
        <f>actuals!E68</f>
        <v/>
      </c>
      <c r="D68">
        <f>IF(actuals!G68="revenue",-1,1)*IFERROR(actuals!H68,VALUE(SUBSTITUTE(SUBSTITUTE(SUBSTITUTE(actuals!H68,"(","-"),")",""),",","")))</f>
        <v/>
      </c>
      <c r="E68">
        <f>INDEX(map!$B$2:$B$12,MATCH(actuals!E68,map!$A$2:$A$12,0))</f>
        <v/>
      </c>
      <c r="F68">
        <f>IF(COUNTIF($A$2:$A68,actuals!A68)=1,1,0)</f>
        <v/>
      </c>
      <c r="G68">
        <f>INDEX(map!$C$2:$C$12,MATCH(actuals!E68,map!$A$2:$A$12,0))</f>
        <v/>
      </c>
    </row>
    <row r="69">
      <c r="A69">
        <f>actuals!A69</f>
        <v/>
      </c>
      <c r="B69">
        <f>actuals!B69</f>
        <v/>
      </c>
      <c r="C69">
        <f>actuals!E69</f>
        <v/>
      </c>
      <c r="D69">
        <f>IF(actuals!G69="revenue",-1,1)*IFERROR(actuals!H69,VALUE(SUBSTITUTE(SUBSTITUTE(SUBSTITUTE(actuals!H69,"(","-"),")",""),",","")))</f>
        <v/>
      </c>
      <c r="E69">
        <f>INDEX(map!$B$2:$B$12,MATCH(actuals!E69,map!$A$2:$A$12,0))</f>
        <v/>
      </c>
      <c r="F69">
        <f>IF(COUNTIF($A$2:$A69,actuals!A69)=1,1,0)</f>
        <v/>
      </c>
      <c r="G69">
        <f>INDEX(map!$C$2:$C$12,MATCH(actuals!E69,map!$A$2:$A$12,0))</f>
        <v/>
      </c>
    </row>
    <row r="70">
      <c r="A70">
        <f>actuals!A70</f>
        <v/>
      </c>
      <c r="B70">
        <f>actuals!B70</f>
        <v/>
      </c>
      <c r="C70">
        <f>actuals!E70</f>
        <v/>
      </c>
      <c r="D70">
        <f>IF(actuals!G70="revenue",-1,1)*IFERROR(actuals!H70,VALUE(SUBSTITUTE(SUBSTITUTE(SUBSTITUTE(actuals!H70,"(","-"),")",""),",","")))</f>
        <v/>
      </c>
      <c r="E70">
        <f>INDEX(map!$B$2:$B$12,MATCH(actuals!E70,map!$A$2:$A$12,0))</f>
        <v/>
      </c>
      <c r="F70">
        <f>IF(COUNTIF($A$2:$A70,actuals!A70)=1,1,0)</f>
        <v/>
      </c>
      <c r="G70">
        <f>INDEX(map!$C$2:$C$12,MATCH(actuals!E70,map!$A$2:$A$12,0))</f>
        <v/>
      </c>
    </row>
    <row r="71">
      <c r="A71">
        <f>actuals!A71</f>
        <v/>
      </c>
      <c r="B71">
        <f>actuals!B71</f>
        <v/>
      </c>
      <c r="C71">
        <f>actuals!E71</f>
        <v/>
      </c>
      <c r="D71">
        <f>IF(actuals!G71="revenue",-1,1)*IFERROR(actuals!H71,VALUE(SUBSTITUTE(SUBSTITUTE(SUBSTITUTE(actuals!H71,"(","-"),")",""),",","")))</f>
        <v/>
      </c>
      <c r="E71">
        <f>INDEX(map!$B$2:$B$12,MATCH(actuals!E71,map!$A$2:$A$12,0))</f>
        <v/>
      </c>
      <c r="F71">
        <f>IF(COUNTIF($A$2:$A71,actuals!A71)=1,1,0)</f>
        <v/>
      </c>
      <c r="G71">
        <f>INDEX(map!$C$2:$C$12,MATCH(actuals!E71,map!$A$2:$A$12,0))</f>
        <v/>
      </c>
    </row>
    <row r="72">
      <c r="A72">
        <f>actuals!A72</f>
        <v/>
      </c>
      <c r="B72">
        <f>actuals!B72</f>
        <v/>
      </c>
      <c r="C72">
        <f>actuals!E72</f>
        <v/>
      </c>
      <c r="D72">
        <f>IF(actuals!G72="revenue",-1,1)*IFERROR(actuals!H72,VALUE(SUBSTITUTE(SUBSTITUTE(SUBSTITUTE(actuals!H72,"(","-"),")",""),",","")))</f>
        <v/>
      </c>
      <c r="E72">
        <f>INDEX(map!$B$2:$B$12,MATCH(actuals!E72,map!$A$2:$A$12,0))</f>
        <v/>
      </c>
      <c r="F72">
        <f>IF(COUNTIF($A$2:$A72,actuals!A72)=1,1,0)</f>
        <v/>
      </c>
      <c r="G72">
        <f>INDEX(map!$C$2:$C$12,MATCH(actuals!E72,map!$A$2:$A$12,0))</f>
        <v/>
      </c>
    </row>
    <row r="73">
      <c r="A73">
        <f>actuals!A73</f>
        <v/>
      </c>
      <c r="B73">
        <f>actuals!B73</f>
        <v/>
      </c>
      <c r="C73">
        <f>actuals!E73</f>
        <v/>
      </c>
      <c r="D73">
        <f>IF(actuals!G73="revenue",-1,1)*IFERROR(actuals!H73,VALUE(SUBSTITUTE(SUBSTITUTE(SUBSTITUTE(actuals!H73,"(","-"),")",""),",","")))</f>
        <v/>
      </c>
      <c r="E73">
        <f>INDEX(map!$B$2:$B$12,MATCH(actuals!E73,map!$A$2:$A$12,0))</f>
        <v/>
      </c>
      <c r="F73">
        <f>IF(COUNTIF($A$2:$A73,actuals!A73)=1,1,0)</f>
        <v/>
      </c>
      <c r="G73">
        <f>INDEX(map!$C$2:$C$12,MATCH(actuals!E73,map!$A$2:$A$12,0))</f>
        <v/>
      </c>
    </row>
    <row r="74">
      <c r="A74">
        <f>actuals!A74</f>
        <v/>
      </c>
      <c r="B74">
        <f>actuals!B74</f>
        <v/>
      </c>
      <c r="C74">
        <f>actuals!E74</f>
        <v/>
      </c>
      <c r="D74">
        <f>IF(actuals!G74="revenue",-1,1)*IFERROR(actuals!H74,VALUE(SUBSTITUTE(SUBSTITUTE(SUBSTITUTE(actuals!H74,"(","-"),")",""),",","")))</f>
        <v/>
      </c>
      <c r="E74">
        <f>INDEX(map!$B$2:$B$12,MATCH(actuals!E74,map!$A$2:$A$12,0))</f>
        <v/>
      </c>
      <c r="F74">
        <f>IF(COUNTIF($A$2:$A74,actuals!A74)=1,1,0)</f>
        <v/>
      </c>
      <c r="G74">
        <f>INDEX(map!$C$2:$C$12,MATCH(actuals!E74,map!$A$2:$A$12,0))</f>
        <v/>
      </c>
    </row>
    <row r="75">
      <c r="A75">
        <f>actuals!A75</f>
        <v/>
      </c>
      <c r="B75">
        <f>actuals!B75</f>
        <v/>
      </c>
      <c r="C75">
        <f>actuals!E75</f>
        <v/>
      </c>
      <c r="D75">
        <f>IF(actuals!G75="revenue",-1,1)*IFERROR(actuals!H75,VALUE(SUBSTITUTE(SUBSTITUTE(SUBSTITUTE(actuals!H75,"(","-"),")",""),",","")))</f>
        <v/>
      </c>
      <c r="E75">
        <f>INDEX(map!$B$2:$B$12,MATCH(actuals!E75,map!$A$2:$A$12,0))</f>
        <v/>
      </c>
      <c r="F75">
        <f>IF(COUNTIF($A$2:$A75,actuals!A75)=1,1,0)</f>
        <v/>
      </c>
      <c r="G75">
        <f>INDEX(map!$C$2:$C$12,MATCH(actuals!E75,map!$A$2:$A$12,0))</f>
        <v/>
      </c>
    </row>
    <row r="76">
      <c r="A76">
        <f>actuals!A76</f>
        <v/>
      </c>
      <c r="B76">
        <f>actuals!B76</f>
        <v/>
      </c>
      <c r="C76">
        <f>actuals!E76</f>
        <v/>
      </c>
      <c r="D76">
        <f>IF(actuals!G76="revenue",-1,1)*IFERROR(actuals!H76,VALUE(SUBSTITUTE(SUBSTITUTE(SUBSTITUTE(actuals!H76,"(","-"),")",""),",","")))</f>
        <v/>
      </c>
      <c r="E76">
        <f>INDEX(map!$B$2:$B$12,MATCH(actuals!E76,map!$A$2:$A$12,0))</f>
        <v/>
      </c>
      <c r="F76">
        <f>IF(COUNTIF($A$2:$A76,actuals!A76)=1,1,0)</f>
        <v/>
      </c>
      <c r="G76">
        <f>INDEX(map!$C$2:$C$12,MATCH(actuals!E76,map!$A$2:$A$12,0))</f>
        <v/>
      </c>
    </row>
    <row r="77">
      <c r="A77">
        <f>actuals!A77</f>
        <v/>
      </c>
      <c r="B77">
        <f>actuals!B77</f>
        <v/>
      </c>
      <c r="C77">
        <f>actuals!E77</f>
        <v/>
      </c>
      <c r="D77">
        <f>IF(actuals!G77="revenue",-1,1)*IFERROR(actuals!H77,VALUE(SUBSTITUTE(SUBSTITUTE(SUBSTITUTE(actuals!H77,"(","-"),")",""),",","")))</f>
        <v/>
      </c>
      <c r="E77">
        <f>INDEX(map!$B$2:$B$12,MATCH(actuals!E77,map!$A$2:$A$12,0))</f>
        <v/>
      </c>
      <c r="F77">
        <f>IF(COUNTIF($A$2:$A77,actuals!A77)=1,1,0)</f>
        <v/>
      </c>
      <c r="G77">
        <f>INDEX(map!$C$2:$C$12,MATCH(actuals!E77,map!$A$2:$A$12,0))</f>
        <v/>
      </c>
    </row>
    <row r="78">
      <c r="A78">
        <f>actuals!A78</f>
        <v/>
      </c>
      <c r="B78">
        <f>actuals!B78</f>
        <v/>
      </c>
      <c r="C78">
        <f>actuals!E78</f>
        <v/>
      </c>
      <c r="D78">
        <f>IF(actuals!G78="revenue",-1,1)*IFERROR(actuals!H78,VALUE(SUBSTITUTE(SUBSTITUTE(SUBSTITUTE(actuals!H78,"(","-"),")",""),",","")))</f>
        <v/>
      </c>
      <c r="E78">
        <f>INDEX(map!$B$2:$B$12,MATCH(actuals!E78,map!$A$2:$A$12,0))</f>
        <v/>
      </c>
      <c r="F78">
        <f>IF(COUNTIF($A$2:$A78,actuals!A78)=1,1,0)</f>
        <v/>
      </c>
      <c r="G78">
        <f>INDEX(map!$C$2:$C$12,MATCH(actuals!E78,map!$A$2:$A$12,0))</f>
        <v/>
      </c>
    </row>
    <row r="79">
      <c r="A79">
        <f>actuals!A79</f>
        <v/>
      </c>
      <c r="B79">
        <f>actuals!B79</f>
        <v/>
      </c>
      <c r="C79">
        <f>actuals!E79</f>
        <v/>
      </c>
      <c r="D79">
        <f>IF(actuals!G79="revenue",-1,1)*IFERROR(actuals!H79,VALUE(SUBSTITUTE(SUBSTITUTE(SUBSTITUTE(actuals!H79,"(","-"),")",""),",","")))</f>
        <v/>
      </c>
      <c r="E79">
        <f>INDEX(map!$B$2:$B$12,MATCH(actuals!E79,map!$A$2:$A$12,0))</f>
        <v/>
      </c>
      <c r="F79">
        <f>IF(COUNTIF($A$2:$A79,actuals!A79)=1,1,0)</f>
        <v/>
      </c>
      <c r="G79">
        <f>INDEX(map!$C$2:$C$12,MATCH(actuals!E79,map!$A$2:$A$12,0))</f>
        <v/>
      </c>
    </row>
    <row r="80">
      <c r="A80">
        <f>actuals!A80</f>
        <v/>
      </c>
      <c r="B80">
        <f>actuals!B80</f>
        <v/>
      </c>
      <c r="C80">
        <f>actuals!E80</f>
        <v/>
      </c>
      <c r="D80">
        <f>IF(actuals!G80="revenue",-1,1)*IFERROR(actuals!H80,VALUE(SUBSTITUTE(SUBSTITUTE(SUBSTITUTE(actuals!H80,"(","-"),")",""),",","")))</f>
        <v/>
      </c>
      <c r="E80">
        <f>INDEX(map!$B$2:$B$12,MATCH(actuals!E80,map!$A$2:$A$12,0))</f>
        <v/>
      </c>
      <c r="F80">
        <f>IF(COUNTIF($A$2:$A80,actuals!A80)=1,1,0)</f>
        <v/>
      </c>
      <c r="G80">
        <f>INDEX(map!$C$2:$C$12,MATCH(actuals!E80,map!$A$2:$A$12,0))</f>
        <v/>
      </c>
    </row>
    <row r="81">
      <c r="A81">
        <f>actuals!A81</f>
        <v/>
      </c>
      <c r="B81">
        <f>actuals!B81</f>
        <v/>
      </c>
      <c r="C81">
        <f>actuals!E81</f>
        <v/>
      </c>
      <c r="D81">
        <f>IF(actuals!G81="revenue",-1,1)*IFERROR(actuals!H81,VALUE(SUBSTITUTE(SUBSTITUTE(SUBSTITUTE(actuals!H81,"(","-"),")",""),",","")))</f>
        <v/>
      </c>
      <c r="E81">
        <f>INDEX(map!$B$2:$B$12,MATCH(actuals!E81,map!$A$2:$A$12,0))</f>
        <v/>
      </c>
      <c r="F81">
        <f>IF(COUNTIF($A$2:$A81,actuals!A81)=1,1,0)</f>
        <v/>
      </c>
      <c r="G81">
        <f>INDEX(map!$C$2:$C$12,MATCH(actuals!E81,map!$A$2:$A$12,0))</f>
        <v/>
      </c>
    </row>
    <row r="82">
      <c r="A82">
        <f>actuals!A82</f>
        <v/>
      </c>
      <c r="B82">
        <f>actuals!B82</f>
        <v/>
      </c>
      <c r="C82">
        <f>actuals!E82</f>
        <v/>
      </c>
      <c r="D82">
        <f>IF(actuals!G82="revenue",-1,1)*IFERROR(actuals!H82,VALUE(SUBSTITUTE(SUBSTITUTE(SUBSTITUTE(actuals!H82,"(","-"),")",""),",","")))</f>
        <v/>
      </c>
      <c r="E82">
        <f>INDEX(map!$B$2:$B$12,MATCH(actuals!E82,map!$A$2:$A$12,0))</f>
        <v/>
      </c>
      <c r="F82">
        <f>IF(COUNTIF($A$2:$A82,actuals!A82)=1,1,0)</f>
        <v/>
      </c>
      <c r="G82">
        <f>INDEX(map!$C$2:$C$12,MATCH(actuals!E82,map!$A$2:$A$12,0))</f>
        <v/>
      </c>
    </row>
    <row r="83">
      <c r="A83">
        <f>actuals!A83</f>
        <v/>
      </c>
      <c r="B83">
        <f>actuals!B83</f>
        <v/>
      </c>
      <c r="C83">
        <f>actuals!E83</f>
        <v/>
      </c>
      <c r="D83">
        <f>IF(actuals!G83="revenue",-1,1)*IFERROR(actuals!H83,VALUE(SUBSTITUTE(SUBSTITUTE(SUBSTITUTE(actuals!H83,"(","-"),")",""),",","")))</f>
        <v/>
      </c>
      <c r="E83">
        <f>INDEX(map!$B$2:$B$12,MATCH(actuals!E83,map!$A$2:$A$12,0))</f>
        <v/>
      </c>
      <c r="F83">
        <f>IF(COUNTIF($A$2:$A83,actuals!A83)=1,1,0)</f>
        <v/>
      </c>
      <c r="G83">
        <f>INDEX(map!$C$2:$C$12,MATCH(actuals!E83,map!$A$2:$A$12,0))</f>
        <v/>
      </c>
    </row>
    <row r="84">
      <c r="A84">
        <f>actuals!A84</f>
        <v/>
      </c>
      <c r="B84">
        <f>actuals!B84</f>
        <v/>
      </c>
      <c r="C84">
        <f>actuals!E84</f>
        <v/>
      </c>
      <c r="D84">
        <f>IF(actuals!G84="revenue",-1,1)*IFERROR(actuals!H84,VALUE(SUBSTITUTE(SUBSTITUTE(SUBSTITUTE(actuals!H84,"(","-"),")",""),",","")))</f>
        <v/>
      </c>
      <c r="E84">
        <f>INDEX(map!$B$2:$B$12,MATCH(actuals!E84,map!$A$2:$A$12,0))</f>
        <v/>
      </c>
      <c r="F84">
        <f>IF(COUNTIF($A$2:$A84,actuals!A84)=1,1,0)</f>
        <v/>
      </c>
      <c r="G84">
        <f>INDEX(map!$C$2:$C$12,MATCH(actuals!E84,map!$A$2:$A$12,0))</f>
        <v/>
      </c>
    </row>
    <row r="85">
      <c r="A85">
        <f>actuals!A85</f>
        <v/>
      </c>
      <c r="B85">
        <f>actuals!B85</f>
        <v/>
      </c>
      <c r="C85">
        <f>actuals!E85</f>
        <v/>
      </c>
      <c r="D85">
        <f>IF(actuals!G85="revenue",-1,1)*IFERROR(actuals!H85,VALUE(SUBSTITUTE(SUBSTITUTE(SUBSTITUTE(actuals!H85,"(","-"),")",""),",","")))</f>
        <v/>
      </c>
      <c r="E85">
        <f>INDEX(map!$B$2:$B$12,MATCH(actuals!E85,map!$A$2:$A$12,0))</f>
        <v/>
      </c>
      <c r="F85">
        <f>IF(COUNTIF($A$2:$A85,actuals!A85)=1,1,0)</f>
        <v/>
      </c>
      <c r="G85">
        <f>INDEX(map!$C$2:$C$12,MATCH(actuals!E85,map!$A$2:$A$12,0))</f>
        <v/>
      </c>
    </row>
    <row r="86">
      <c r="A86">
        <f>actuals!A86</f>
        <v/>
      </c>
      <c r="B86">
        <f>actuals!B86</f>
        <v/>
      </c>
      <c r="C86">
        <f>actuals!E86</f>
        <v/>
      </c>
      <c r="D86">
        <f>IF(actuals!G86="revenue",-1,1)*IFERROR(actuals!H86,VALUE(SUBSTITUTE(SUBSTITUTE(SUBSTITUTE(actuals!H86,"(","-"),")",""),",","")))</f>
        <v/>
      </c>
      <c r="E86">
        <f>INDEX(map!$B$2:$B$12,MATCH(actuals!E86,map!$A$2:$A$12,0))</f>
        <v/>
      </c>
      <c r="F86">
        <f>IF(COUNTIF($A$2:$A86,actuals!A86)=1,1,0)</f>
        <v/>
      </c>
      <c r="G86">
        <f>INDEX(map!$C$2:$C$12,MATCH(actuals!E86,map!$A$2:$A$12,0))</f>
        <v/>
      </c>
    </row>
    <row r="87">
      <c r="A87">
        <f>actuals!A87</f>
        <v/>
      </c>
      <c r="B87">
        <f>actuals!B87</f>
        <v/>
      </c>
      <c r="C87">
        <f>actuals!E87</f>
        <v/>
      </c>
      <c r="D87">
        <f>IF(actuals!G87="revenue",-1,1)*IFERROR(actuals!H87,VALUE(SUBSTITUTE(SUBSTITUTE(SUBSTITUTE(actuals!H87,"(","-"),")",""),",","")))</f>
        <v/>
      </c>
      <c r="E87">
        <f>INDEX(map!$B$2:$B$12,MATCH(actuals!E87,map!$A$2:$A$12,0))</f>
        <v/>
      </c>
      <c r="F87">
        <f>IF(COUNTIF($A$2:$A87,actuals!A87)=1,1,0)</f>
        <v/>
      </c>
      <c r="G87">
        <f>INDEX(map!$C$2:$C$12,MATCH(actuals!E87,map!$A$2:$A$12,0))</f>
        <v/>
      </c>
    </row>
    <row r="88">
      <c r="A88">
        <f>actuals!A88</f>
        <v/>
      </c>
      <c r="B88">
        <f>actuals!B88</f>
        <v/>
      </c>
      <c r="C88">
        <f>actuals!E88</f>
        <v/>
      </c>
      <c r="D88">
        <f>IF(actuals!G88="revenue",-1,1)*IFERROR(actuals!H88,VALUE(SUBSTITUTE(SUBSTITUTE(SUBSTITUTE(actuals!H88,"(","-"),")",""),",","")))</f>
        <v/>
      </c>
      <c r="E88">
        <f>INDEX(map!$B$2:$B$12,MATCH(actuals!E88,map!$A$2:$A$12,0))</f>
        <v/>
      </c>
      <c r="F88">
        <f>IF(COUNTIF($A$2:$A88,actuals!A88)=1,1,0)</f>
        <v/>
      </c>
      <c r="G88">
        <f>INDEX(map!$C$2:$C$12,MATCH(actuals!E88,map!$A$2:$A$12,0))</f>
        <v/>
      </c>
    </row>
    <row r="89">
      <c r="A89">
        <f>actuals!A89</f>
        <v/>
      </c>
      <c r="B89">
        <f>actuals!B89</f>
        <v/>
      </c>
      <c r="C89">
        <f>actuals!E89</f>
        <v/>
      </c>
      <c r="D89">
        <f>IF(actuals!G89="revenue",-1,1)*IFERROR(actuals!H89,VALUE(SUBSTITUTE(SUBSTITUTE(SUBSTITUTE(actuals!H89,"(","-"),")",""),",","")))</f>
        <v/>
      </c>
      <c r="E89">
        <f>INDEX(map!$B$2:$B$12,MATCH(actuals!E89,map!$A$2:$A$12,0))</f>
        <v/>
      </c>
      <c r="F89">
        <f>IF(COUNTIF($A$2:$A89,actuals!A89)=1,1,0)</f>
        <v/>
      </c>
      <c r="G89">
        <f>INDEX(map!$C$2:$C$12,MATCH(actuals!E89,map!$A$2:$A$12,0))</f>
        <v/>
      </c>
    </row>
    <row r="90">
      <c r="A90">
        <f>actuals!A90</f>
        <v/>
      </c>
      <c r="B90">
        <f>actuals!B90</f>
        <v/>
      </c>
      <c r="C90">
        <f>actuals!E90</f>
        <v/>
      </c>
      <c r="D90">
        <f>IF(actuals!G90="revenue",-1,1)*IFERROR(actuals!H90,VALUE(SUBSTITUTE(SUBSTITUTE(SUBSTITUTE(actuals!H90,"(","-"),")",""),",","")))</f>
        <v/>
      </c>
      <c r="E90">
        <f>INDEX(map!$B$2:$B$12,MATCH(actuals!E90,map!$A$2:$A$12,0))</f>
        <v/>
      </c>
      <c r="F90">
        <f>IF(COUNTIF($A$2:$A90,actuals!A90)=1,1,0)</f>
        <v/>
      </c>
      <c r="G90">
        <f>INDEX(map!$C$2:$C$12,MATCH(actuals!E90,map!$A$2:$A$12,0))</f>
        <v/>
      </c>
    </row>
    <row r="91">
      <c r="A91">
        <f>actuals!A91</f>
        <v/>
      </c>
      <c r="B91">
        <f>actuals!B91</f>
        <v/>
      </c>
      <c r="C91">
        <f>actuals!E91</f>
        <v/>
      </c>
      <c r="D91">
        <f>IF(actuals!G91="revenue",-1,1)*IFERROR(actuals!H91,VALUE(SUBSTITUTE(SUBSTITUTE(SUBSTITUTE(actuals!H91,"(","-"),")",""),",","")))</f>
        <v/>
      </c>
      <c r="E91">
        <f>INDEX(map!$B$2:$B$12,MATCH(actuals!E91,map!$A$2:$A$12,0))</f>
        <v/>
      </c>
      <c r="F91">
        <f>IF(COUNTIF($A$2:$A91,actuals!A91)=1,1,0)</f>
        <v/>
      </c>
      <c r="G91">
        <f>INDEX(map!$C$2:$C$12,MATCH(actuals!E91,map!$A$2:$A$12,0))</f>
        <v/>
      </c>
    </row>
    <row r="92">
      <c r="A92">
        <f>actuals!A92</f>
        <v/>
      </c>
      <c r="B92">
        <f>actuals!B92</f>
        <v/>
      </c>
      <c r="C92">
        <f>actuals!E92</f>
        <v/>
      </c>
      <c r="D92">
        <f>IF(actuals!G92="revenue",-1,1)*IFERROR(actuals!H92,VALUE(SUBSTITUTE(SUBSTITUTE(SUBSTITUTE(actuals!H92,"(","-"),")",""),",","")))</f>
        <v/>
      </c>
      <c r="E92">
        <f>INDEX(map!$B$2:$B$12,MATCH(actuals!E92,map!$A$2:$A$12,0))</f>
        <v/>
      </c>
      <c r="F92">
        <f>IF(COUNTIF($A$2:$A92,actuals!A92)=1,1,0)</f>
        <v/>
      </c>
      <c r="G92">
        <f>INDEX(map!$C$2:$C$12,MATCH(actuals!E92,map!$A$2:$A$12,0))</f>
        <v/>
      </c>
    </row>
    <row r="93">
      <c r="A93">
        <f>actuals!A93</f>
        <v/>
      </c>
      <c r="B93">
        <f>actuals!B93</f>
        <v/>
      </c>
      <c r="C93">
        <f>actuals!E93</f>
        <v/>
      </c>
      <c r="D93">
        <f>IF(actuals!G93="revenue",-1,1)*IFERROR(actuals!H93,VALUE(SUBSTITUTE(SUBSTITUTE(SUBSTITUTE(actuals!H93,"(","-"),")",""),",","")))</f>
        <v/>
      </c>
      <c r="E93">
        <f>INDEX(map!$B$2:$B$12,MATCH(actuals!E93,map!$A$2:$A$12,0))</f>
        <v/>
      </c>
      <c r="F93">
        <f>IF(COUNTIF($A$2:$A93,actuals!A93)=1,1,0)</f>
        <v/>
      </c>
      <c r="G93">
        <f>INDEX(map!$C$2:$C$12,MATCH(actuals!E93,map!$A$2:$A$12,0))</f>
        <v/>
      </c>
    </row>
    <row r="94">
      <c r="A94">
        <f>actuals!A94</f>
        <v/>
      </c>
      <c r="B94">
        <f>actuals!B94</f>
        <v/>
      </c>
      <c r="C94">
        <f>actuals!E94</f>
        <v/>
      </c>
      <c r="D94">
        <f>IF(actuals!G94="revenue",-1,1)*IFERROR(actuals!H94,VALUE(SUBSTITUTE(SUBSTITUTE(SUBSTITUTE(actuals!H94,"(","-"),")",""),",","")))</f>
        <v/>
      </c>
      <c r="E94">
        <f>INDEX(map!$B$2:$B$12,MATCH(actuals!E94,map!$A$2:$A$12,0))</f>
        <v/>
      </c>
      <c r="F94">
        <f>IF(COUNTIF($A$2:$A94,actuals!A94)=1,1,0)</f>
        <v/>
      </c>
      <c r="G94">
        <f>INDEX(map!$C$2:$C$12,MATCH(actuals!E94,map!$A$2:$A$12,0))</f>
        <v/>
      </c>
    </row>
    <row r="95">
      <c r="A95">
        <f>actuals!A95</f>
        <v/>
      </c>
      <c r="B95">
        <f>actuals!B95</f>
        <v/>
      </c>
      <c r="C95">
        <f>actuals!E95</f>
        <v/>
      </c>
      <c r="D95">
        <f>IF(actuals!G95="revenue",-1,1)*IFERROR(actuals!H95,VALUE(SUBSTITUTE(SUBSTITUTE(SUBSTITUTE(actuals!H95,"(","-"),")",""),",","")))</f>
        <v/>
      </c>
      <c r="E95">
        <f>INDEX(map!$B$2:$B$12,MATCH(actuals!E95,map!$A$2:$A$12,0))</f>
        <v/>
      </c>
      <c r="F95">
        <f>IF(COUNTIF($A$2:$A95,actuals!A95)=1,1,0)</f>
        <v/>
      </c>
      <c r="G95">
        <f>INDEX(map!$C$2:$C$12,MATCH(actuals!E95,map!$A$2:$A$12,0))</f>
        <v/>
      </c>
    </row>
    <row r="96">
      <c r="A96">
        <f>actuals!A96</f>
        <v/>
      </c>
      <c r="B96">
        <f>actuals!B96</f>
        <v/>
      </c>
      <c r="C96">
        <f>actuals!E96</f>
        <v/>
      </c>
      <c r="D96">
        <f>IF(actuals!G96="revenue",-1,1)*IFERROR(actuals!H96,VALUE(SUBSTITUTE(SUBSTITUTE(SUBSTITUTE(actuals!H96,"(","-"),")",""),",","")))</f>
        <v/>
      </c>
      <c r="E96">
        <f>INDEX(map!$B$2:$B$12,MATCH(actuals!E96,map!$A$2:$A$12,0))</f>
        <v/>
      </c>
      <c r="F96">
        <f>IF(COUNTIF($A$2:$A96,actuals!A96)=1,1,0)</f>
        <v/>
      </c>
      <c r="G96">
        <f>INDEX(map!$C$2:$C$12,MATCH(actuals!E96,map!$A$2:$A$12,0))</f>
        <v/>
      </c>
    </row>
    <row r="97">
      <c r="A97">
        <f>actuals!A97</f>
        <v/>
      </c>
      <c r="B97">
        <f>actuals!B97</f>
        <v/>
      </c>
      <c r="C97">
        <f>actuals!E97</f>
        <v/>
      </c>
      <c r="D97">
        <f>IF(actuals!G97="revenue",-1,1)*IFERROR(actuals!H97,VALUE(SUBSTITUTE(SUBSTITUTE(SUBSTITUTE(actuals!H97,"(","-"),")",""),",","")))</f>
        <v/>
      </c>
      <c r="E97">
        <f>INDEX(map!$B$2:$B$12,MATCH(actuals!E97,map!$A$2:$A$12,0))</f>
        <v/>
      </c>
      <c r="F97">
        <f>IF(COUNTIF($A$2:$A97,actuals!A97)=1,1,0)</f>
        <v/>
      </c>
      <c r="G97">
        <f>INDEX(map!$C$2:$C$12,MATCH(actuals!E97,map!$A$2:$A$12,0))</f>
        <v/>
      </c>
    </row>
    <row r="98">
      <c r="A98">
        <f>actuals!A98</f>
        <v/>
      </c>
      <c r="B98">
        <f>actuals!B98</f>
        <v/>
      </c>
      <c r="C98">
        <f>actuals!E98</f>
        <v/>
      </c>
      <c r="D98">
        <f>IF(actuals!G98="revenue",-1,1)*IFERROR(actuals!H98,VALUE(SUBSTITUTE(SUBSTITUTE(SUBSTITUTE(actuals!H98,"(","-"),")",""),",","")))</f>
        <v/>
      </c>
      <c r="E98">
        <f>INDEX(map!$B$2:$B$12,MATCH(actuals!E98,map!$A$2:$A$12,0))</f>
        <v/>
      </c>
      <c r="F98">
        <f>IF(COUNTIF($A$2:$A98,actuals!A98)=1,1,0)</f>
        <v/>
      </c>
      <c r="G98">
        <f>INDEX(map!$C$2:$C$12,MATCH(actuals!E98,map!$A$2:$A$12,0))</f>
        <v/>
      </c>
    </row>
    <row r="99">
      <c r="A99">
        <f>actuals!A99</f>
        <v/>
      </c>
      <c r="B99">
        <f>actuals!B99</f>
        <v/>
      </c>
      <c r="C99">
        <f>actuals!E99</f>
        <v/>
      </c>
      <c r="D99">
        <f>IF(actuals!G99="revenue",-1,1)*IFERROR(actuals!H99,VALUE(SUBSTITUTE(SUBSTITUTE(SUBSTITUTE(actuals!H99,"(","-"),")",""),",","")))</f>
        <v/>
      </c>
      <c r="E99">
        <f>INDEX(map!$B$2:$B$12,MATCH(actuals!E99,map!$A$2:$A$12,0))</f>
        <v/>
      </c>
      <c r="F99">
        <f>IF(COUNTIF($A$2:$A99,actuals!A99)=1,1,0)</f>
        <v/>
      </c>
      <c r="G99">
        <f>INDEX(map!$C$2:$C$12,MATCH(actuals!E99,map!$A$2:$A$12,0))</f>
        <v/>
      </c>
    </row>
    <row r="100">
      <c r="A100">
        <f>actuals!A100</f>
        <v/>
      </c>
      <c r="B100">
        <f>actuals!B100</f>
        <v/>
      </c>
      <c r="C100">
        <f>actuals!E100</f>
        <v/>
      </c>
      <c r="D100">
        <f>IF(actuals!G100="revenue",-1,1)*IFERROR(actuals!H100,VALUE(SUBSTITUTE(SUBSTITUTE(SUBSTITUTE(actuals!H100,"(","-"),")",""),",","")))</f>
        <v/>
      </c>
      <c r="E100">
        <f>INDEX(map!$B$2:$B$12,MATCH(actuals!E100,map!$A$2:$A$12,0))</f>
        <v/>
      </c>
      <c r="F100">
        <f>IF(COUNTIF($A$2:$A100,actuals!A100)=1,1,0)</f>
        <v/>
      </c>
      <c r="G100">
        <f>INDEX(map!$C$2:$C$12,MATCH(actuals!E100,map!$A$2:$A$12,0))</f>
        <v/>
      </c>
    </row>
    <row r="101">
      <c r="A101">
        <f>actuals!A101</f>
        <v/>
      </c>
      <c r="B101">
        <f>actuals!B101</f>
        <v/>
      </c>
      <c r="C101">
        <f>actuals!E101</f>
        <v/>
      </c>
      <c r="D101">
        <f>IF(actuals!G101="revenue",-1,1)*IFERROR(actuals!H101,VALUE(SUBSTITUTE(SUBSTITUTE(SUBSTITUTE(actuals!H101,"(","-"),")",""),",","")))</f>
        <v/>
      </c>
      <c r="E101">
        <f>INDEX(map!$B$2:$B$12,MATCH(actuals!E101,map!$A$2:$A$12,0))</f>
        <v/>
      </c>
      <c r="F101">
        <f>IF(COUNTIF($A$2:$A101,actuals!A101)=1,1,0)</f>
        <v/>
      </c>
      <c r="G101">
        <f>INDEX(map!$C$2:$C$12,MATCH(actuals!E101,map!$A$2:$A$12,0))</f>
        <v/>
      </c>
    </row>
    <row r="102">
      <c r="A102">
        <f>actuals!A102</f>
        <v/>
      </c>
      <c r="B102">
        <f>actuals!B102</f>
        <v/>
      </c>
      <c r="C102">
        <f>actuals!E102</f>
        <v/>
      </c>
      <c r="D102">
        <f>IF(actuals!G102="revenue",-1,1)*IFERROR(actuals!H102,VALUE(SUBSTITUTE(SUBSTITUTE(SUBSTITUTE(actuals!H102,"(","-"),")",""),",","")))</f>
        <v/>
      </c>
      <c r="E102">
        <f>INDEX(map!$B$2:$B$12,MATCH(actuals!E102,map!$A$2:$A$12,0))</f>
        <v/>
      </c>
      <c r="F102">
        <f>IF(COUNTIF($A$2:$A102,actuals!A102)=1,1,0)</f>
        <v/>
      </c>
      <c r="G102">
        <f>INDEX(map!$C$2:$C$12,MATCH(actuals!E102,map!$A$2:$A$12,0))</f>
        <v/>
      </c>
    </row>
    <row r="103">
      <c r="A103">
        <f>actuals!A103</f>
        <v/>
      </c>
      <c r="B103">
        <f>actuals!B103</f>
        <v/>
      </c>
      <c r="C103">
        <f>actuals!E103</f>
        <v/>
      </c>
      <c r="D103">
        <f>IF(actuals!G103="revenue",-1,1)*IFERROR(actuals!H103,VALUE(SUBSTITUTE(SUBSTITUTE(SUBSTITUTE(actuals!H103,"(","-"),")",""),",","")))</f>
        <v/>
      </c>
      <c r="E103">
        <f>INDEX(map!$B$2:$B$12,MATCH(actuals!E103,map!$A$2:$A$12,0))</f>
        <v/>
      </c>
      <c r="F103">
        <f>IF(COUNTIF($A$2:$A103,actuals!A103)=1,1,0)</f>
        <v/>
      </c>
      <c r="G103">
        <f>INDEX(map!$C$2:$C$12,MATCH(actuals!E103,map!$A$2:$A$12,0))</f>
        <v/>
      </c>
    </row>
    <row r="104">
      <c r="A104">
        <f>actuals!A104</f>
        <v/>
      </c>
      <c r="B104">
        <f>actuals!B104</f>
        <v/>
      </c>
      <c r="C104">
        <f>actuals!E104</f>
        <v/>
      </c>
      <c r="D104">
        <f>IF(actuals!G104="revenue",-1,1)*IFERROR(actuals!H104,VALUE(SUBSTITUTE(SUBSTITUTE(SUBSTITUTE(actuals!H104,"(","-"),")",""),",","")))</f>
        <v/>
      </c>
      <c r="E104">
        <f>INDEX(map!$B$2:$B$12,MATCH(actuals!E104,map!$A$2:$A$12,0))</f>
        <v/>
      </c>
      <c r="F104">
        <f>IF(COUNTIF($A$2:$A104,actuals!A104)=1,1,0)</f>
        <v/>
      </c>
      <c r="G104">
        <f>INDEX(map!$C$2:$C$12,MATCH(actuals!E104,map!$A$2:$A$12,0))</f>
        <v/>
      </c>
    </row>
    <row r="105">
      <c r="A105">
        <f>actuals!A105</f>
        <v/>
      </c>
      <c r="B105">
        <f>actuals!B105</f>
        <v/>
      </c>
      <c r="C105">
        <f>actuals!E105</f>
        <v/>
      </c>
      <c r="D105">
        <f>IF(actuals!G105="revenue",-1,1)*IFERROR(actuals!H105,VALUE(SUBSTITUTE(SUBSTITUTE(SUBSTITUTE(actuals!H105,"(","-"),")",""),",","")))</f>
        <v/>
      </c>
      <c r="E105">
        <f>INDEX(map!$B$2:$B$12,MATCH(actuals!E105,map!$A$2:$A$12,0))</f>
        <v/>
      </c>
      <c r="F105">
        <f>IF(COUNTIF($A$2:$A105,actuals!A105)=1,1,0)</f>
        <v/>
      </c>
      <c r="G105">
        <f>INDEX(map!$C$2:$C$12,MATCH(actuals!E105,map!$A$2:$A$12,0))</f>
        <v/>
      </c>
    </row>
    <row r="106">
      <c r="A106">
        <f>actuals!A106</f>
        <v/>
      </c>
      <c r="B106">
        <f>actuals!B106</f>
        <v/>
      </c>
      <c r="C106">
        <f>actuals!E106</f>
        <v/>
      </c>
      <c r="D106">
        <f>IF(actuals!G106="revenue",-1,1)*IFERROR(actuals!H106,VALUE(SUBSTITUTE(SUBSTITUTE(SUBSTITUTE(actuals!H106,"(","-"),")",""),",","")))</f>
        <v/>
      </c>
      <c r="E106">
        <f>INDEX(map!$B$2:$B$12,MATCH(actuals!E106,map!$A$2:$A$12,0))</f>
        <v/>
      </c>
      <c r="F106">
        <f>IF(COUNTIF($A$2:$A106,actuals!A106)=1,1,0)</f>
        <v/>
      </c>
      <c r="G106">
        <f>INDEX(map!$C$2:$C$12,MATCH(actuals!E106,map!$A$2:$A$12,0))</f>
        <v/>
      </c>
    </row>
    <row r="107">
      <c r="A107">
        <f>actuals!A107</f>
        <v/>
      </c>
      <c r="B107">
        <f>actuals!B107</f>
        <v/>
      </c>
      <c r="C107">
        <f>actuals!E107</f>
        <v/>
      </c>
      <c r="D107">
        <f>IF(actuals!G107="revenue",-1,1)*IFERROR(actuals!H107,VALUE(SUBSTITUTE(SUBSTITUTE(SUBSTITUTE(actuals!H107,"(","-"),")",""),",","")))</f>
        <v/>
      </c>
      <c r="E107">
        <f>INDEX(map!$B$2:$B$12,MATCH(actuals!E107,map!$A$2:$A$12,0))</f>
        <v/>
      </c>
      <c r="F107">
        <f>IF(COUNTIF($A$2:$A107,actuals!A107)=1,1,0)</f>
        <v/>
      </c>
      <c r="G107">
        <f>INDEX(map!$C$2:$C$12,MATCH(actuals!E107,map!$A$2:$A$12,0))</f>
        <v/>
      </c>
    </row>
    <row r="108">
      <c r="A108">
        <f>actuals!A108</f>
        <v/>
      </c>
      <c r="B108">
        <f>actuals!B108</f>
        <v/>
      </c>
      <c r="C108">
        <f>actuals!E108</f>
        <v/>
      </c>
      <c r="D108">
        <f>IF(actuals!G108="revenue",-1,1)*IFERROR(actuals!H108,VALUE(SUBSTITUTE(SUBSTITUTE(SUBSTITUTE(actuals!H108,"(","-"),")",""),",","")))</f>
        <v/>
      </c>
      <c r="E108">
        <f>INDEX(map!$B$2:$B$12,MATCH(actuals!E108,map!$A$2:$A$12,0))</f>
        <v/>
      </c>
      <c r="F108">
        <f>IF(COUNTIF($A$2:$A108,actuals!A108)=1,1,0)</f>
        <v/>
      </c>
      <c r="G108">
        <f>INDEX(map!$C$2:$C$12,MATCH(actuals!E108,map!$A$2:$A$12,0))</f>
        <v/>
      </c>
    </row>
    <row r="109">
      <c r="A109">
        <f>actuals!A109</f>
        <v/>
      </c>
      <c r="B109">
        <f>actuals!B109</f>
        <v/>
      </c>
      <c r="C109">
        <f>actuals!E109</f>
        <v/>
      </c>
      <c r="D109">
        <f>IF(actuals!G109="revenue",-1,1)*IFERROR(actuals!H109,VALUE(SUBSTITUTE(SUBSTITUTE(SUBSTITUTE(actuals!H109,"(","-"),")",""),",","")))</f>
        <v/>
      </c>
      <c r="E109">
        <f>INDEX(map!$B$2:$B$12,MATCH(actuals!E109,map!$A$2:$A$12,0))</f>
        <v/>
      </c>
      <c r="F109">
        <f>IF(COUNTIF($A$2:$A109,actuals!A109)=1,1,0)</f>
        <v/>
      </c>
      <c r="G109">
        <f>INDEX(map!$C$2:$C$12,MATCH(actuals!E109,map!$A$2:$A$12,0))</f>
        <v/>
      </c>
    </row>
    <row r="110">
      <c r="A110">
        <f>actuals!A110</f>
        <v/>
      </c>
      <c r="B110">
        <f>actuals!B110</f>
        <v/>
      </c>
      <c r="C110">
        <f>actuals!E110</f>
        <v/>
      </c>
      <c r="D110">
        <f>IF(actuals!G110="revenue",-1,1)*IFERROR(actuals!H110,VALUE(SUBSTITUTE(SUBSTITUTE(SUBSTITUTE(actuals!H110,"(","-"),")",""),",","")))</f>
        <v/>
      </c>
      <c r="E110">
        <f>INDEX(map!$B$2:$B$12,MATCH(actuals!E110,map!$A$2:$A$12,0))</f>
        <v/>
      </c>
      <c r="F110">
        <f>IF(COUNTIF($A$2:$A110,actuals!A110)=1,1,0)</f>
        <v/>
      </c>
      <c r="G110">
        <f>INDEX(map!$C$2:$C$12,MATCH(actuals!E110,map!$A$2:$A$12,0))</f>
        <v/>
      </c>
    </row>
    <row r="111">
      <c r="A111">
        <f>actuals!A111</f>
        <v/>
      </c>
      <c r="B111">
        <f>actuals!B111</f>
        <v/>
      </c>
      <c r="C111">
        <f>actuals!E111</f>
        <v/>
      </c>
      <c r="D111">
        <f>IF(actuals!G111="revenue",-1,1)*IFERROR(actuals!H111,VALUE(SUBSTITUTE(SUBSTITUTE(SUBSTITUTE(actuals!H111,"(","-"),")",""),",","")))</f>
        <v/>
      </c>
      <c r="E111">
        <f>INDEX(map!$B$2:$B$12,MATCH(actuals!E111,map!$A$2:$A$12,0))</f>
        <v/>
      </c>
      <c r="F111">
        <f>IF(COUNTIF($A$2:$A111,actuals!A111)=1,1,0)</f>
        <v/>
      </c>
      <c r="G111">
        <f>INDEX(map!$C$2:$C$12,MATCH(actuals!E111,map!$A$2:$A$12,0))</f>
        <v/>
      </c>
    </row>
    <row r="112">
      <c r="A112">
        <f>actuals!A112</f>
        <v/>
      </c>
      <c r="B112">
        <f>actuals!B112</f>
        <v/>
      </c>
      <c r="C112">
        <f>actuals!E112</f>
        <v/>
      </c>
      <c r="D112">
        <f>IF(actuals!G112="revenue",-1,1)*IFERROR(actuals!H112,VALUE(SUBSTITUTE(SUBSTITUTE(SUBSTITUTE(actuals!H112,"(","-"),")",""),",","")))</f>
        <v/>
      </c>
      <c r="E112">
        <f>INDEX(map!$B$2:$B$12,MATCH(actuals!E112,map!$A$2:$A$12,0))</f>
        <v/>
      </c>
      <c r="F112">
        <f>IF(COUNTIF($A$2:$A112,actuals!A112)=1,1,0)</f>
        <v/>
      </c>
      <c r="G112">
        <f>INDEX(map!$C$2:$C$12,MATCH(actuals!E112,map!$A$2:$A$12,0))</f>
        <v/>
      </c>
    </row>
    <row r="113">
      <c r="A113">
        <f>actuals!A113</f>
        <v/>
      </c>
      <c r="B113">
        <f>actuals!B113</f>
        <v/>
      </c>
      <c r="C113">
        <f>actuals!E113</f>
        <v/>
      </c>
      <c r="D113">
        <f>IF(actuals!G113="revenue",-1,1)*IFERROR(actuals!H113,VALUE(SUBSTITUTE(SUBSTITUTE(SUBSTITUTE(actuals!H113,"(","-"),")",""),",","")))</f>
        <v/>
      </c>
      <c r="E113">
        <f>INDEX(map!$B$2:$B$12,MATCH(actuals!E113,map!$A$2:$A$12,0))</f>
        <v/>
      </c>
      <c r="F113">
        <f>IF(COUNTIF($A$2:$A113,actuals!A113)=1,1,0)</f>
        <v/>
      </c>
      <c r="G113">
        <f>INDEX(map!$C$2:$C$12,MATCH(actuals!E113,map!$A$2:$A$12,0))</f>
        <v/>
      </c>
    </row>
    <row r="114">
      <c r="A114">
        <f>actuals!A114</f>
        <v/>
      </c>
      <c r="B114">
        <f>actuals!B114</f>
        <v/>
      </c>
      <c r="C114">
        <f>actuals!E114</f>
        <v/>
      </c>
      <c r="D114">
        <f>IF(actuals!G114="revenue",-1,1)*IFERROR(actuals!H114,VALUE(SUBSTITUTE(SUBSTITUTE(SUBSTITUTE(actuals!H114,"(","-"),")",""),",","")))</f>
        <v/>
      </c>
      <c r="E114">
        <f>INDEX(map!$B$2:$B$12,MATCH(actuals!E114,map!$A$2:$A$12,0))</f>
        <v/>
      </c>
      <c r="F114">
        <f>IF(COUNTIF($A$2:$A114,actuals!A114)=1,1,0)</f>
        <v/>
      </c>
      <c r="G114">
        <f>INDEX(map!$C$2:$C$12,MATCH(actuals!E114,map!$A$2:$A$12,0))</f>
        <v/>
      </c>
    </row>
    <row r="115">
      <c r="A115">
        <f>actuals!A115</f>
        <v/>
      </c>
      <c r="B115">
        <f>actuals!B115</f>
        <v/>
      </c>
      <c r="C115">
        <f>actuals!E115</f>
        <v/>
      </c>
      <c r="D115">
        <f>IF(actuals!G115="revenue",-1,1)*IFERROR(actuals!H115,VALUE(SUBSTITUTE(SUBSTITUTE(SUBSTITUTE(actuals!H115,"(","-"),")",""),",","")))</f>
        <v/>
      </c>
      <c r="E115">
        <f>INDEX(map!$B$2:$B$12,MATCH(actuals!E115,map!$A$2:$A$12,0))</f>
        <v/>
      </c>
      <c r="F115">
        <f>IF(COUNTIF($A$2:$A115,actuals!A115)=1,1,0)</f>
        <v/>
      </c>
      <c r="G115">
        <f>INDEX(map!$C$2:$C$12,MATCH(actuals!E115,map!$A$2:$A$12,0))</f>
        <v/>
      </c>
    </row>
    <row r="116">
      <c r="A116">
        <f>actuals!A116</f>
        <v/>
      </c>
      <c r="B116">
        <f>actuals!B116</f>
        <v/>
      </c>
      <c r="C116">
        <f>actuals!E116</f>
        <v/>
      </c>
      <c r="D116">
        <f>IF(actuals!G116="revenue",-1,1)*IFERROR(actuals!H116,VALUE(SUBSTITUTE(SUBSTITUTE(SUBSTITUTE(actuals!H116,"(","-"),")",""),",","")))</f>
        <v/>
      </c>
      <c r="E116">
        <f>INDEX(map!$B$2:$B$12,MATCH(actuals!E116,map!$A$2:$A$12,0))</f>
        <v/>
      </c>
      <c r="F116">
        <f>IF(COUNTIF($A$2:$A116,actuals!A116)=1,1,0)</f>
        <v/>
      </c>
      <c r="G116">
        <f>INDEX(map!$C$2:$C$12,MATCH(actuals!E116,map!$A$2:$A$12,0))</f>
        <v/>
      </c>
    </row>
    <row r="117">
      <c r="A117">
        <f>actuals!A117</f>
        <v/>
      </c>
      <c r="B117">
        <f>actuals!B117</f>
        <v/>
      </c>
      <c r="C117">
        <f>actuals!E117</f>
        <v/>
      </c>
      <c r="D117">
        <f>IF(actuals!G117="revenue",-1,1)*IFERROR(actuals!H117,VALUE(SUBSTITUTE(SUBSTITUTE(SUBSTITUTE(actuals!H117,"(","-"),")",""),",","")))</f>
        <v/>
      </c>
      <c r="E117">
        <f>INDEX(map!$B$2:$B$12,MATCH(actuals!E117,map!$A$2:$A$12,0))</f>
        <v/>
      </c>
      <c r="F117">
        <f>IF(COUNTIF($A$2:$A117,actuals!A117)=1,1,0)</f>
        <v/>
      </c>
      <c r="G117">
        <f>INDEX(map!$C$2:$C$12,MATCH(actuals!E117,map!$A$2:$A$12,0))</f>
        <v/>
      </c>
    </row>
    <row r="118">
      <c r="A118">
        <f>actuals!A118</f>
        <v/>
      </c>
      <c r="B118">
        <f>actuals!B118</f>
        <v/>
      </c>
      <c r="C118">
        <f>actuals!E118</f>
        <v/>
      </c>
      <c r="D118">
        <f>IF(actuals!G118="revenue",-1,1)*IFERROR(actuals!H118,VALUE(SUBSTITUTE(SUBSTITUTE(SUBSTITUTE(actuals!H118,"(","-"),")",""),",","")))</f>
        <v/>
      </c>
      <c r="E118">
        <f>INDEX(map!$B$2:$B$12,MATCH(actuals!E118,map!$A$2:$A$12,0))</f>
        <v/>
      </c>
      <c r="F118">
        <f>IF(COUNTIF($A$2:$A118,actuals!A118)=1,1,0)</f>
        <v/>
      </c>
      <c r="G118">
        <f>INDEX(map!$C$2:$C$12,MATCH(actuals!E118,map!$A$2:$A$12,0))</f>
        <v/>
      </c>
    </row>
    <row r="119">
      <c r="A119">
        <f>actuals!A119</f>
        <v/>
      </c>
      <c r="B119">
        <f>actuals!B119</f>
        <v/>
      </c>
      <c r="C119">
        <f>actuals!E119</f>
        <v/>
      </c>
      <c r="D119">
        <f>IF(actuals!G119="revenue",-1,1)*IFERROR(actuals!H119,VALUE(SUBSTITUTE(SUBSTITUTE(SUBSTITUTE(actuals!H119,"(","-"),")",""),",","")))</f>
        <v/>
      </c>
      <c r="E119">
        <f>INDEX(map!$B$2:$B$12,MATCH(actuals!E119,map!$A$2:$A$12,0))</f>
        <v/>
      </c>
      <c r="F119">
        <f>IF(COUNTIF($A$2:$A119,actuals!A119)=1,1,0)</f>
        <v/>
      </c>
      <c r="G119">
        <f>INDEX(map!$C$2:$C$12,MATCH(actuals!E119,map!$A$2:$A$12,0))</f>
        <v/>
      </c>
    </row>
    <row r="120">
      <c r="A120">
        <f>actuals!A120</f>
        <v/>
      </c>
      <c r="B120">
        <f>actuals!B120</f>
        <v/>
      </c>
      <c r="C120">
        <f>actuals!E120</f>
        <v/>
      </c>
      <c r="D120">
        <f>IF(actuals!G120="revenue",-1,1)*IFERROR(actuals!H120,VALUE(SUBSTITUTE(SUBSTITUTE(SUBSTITUTE(actuals!H120,"(","-"),")",""),",","")))</f>
        <v/>
      </c>
      <c r="E120">
        <f>INDEX(map!$B$2:$B$12,MATCH(actuals!E120,map!$A$2:$A$12,0))</f>
        <v/>
      </c>
      <c r="F120">
        <f>IF(COUNTIF($A$2:$A120,actuals!A120)=1,1,0)</f>
        <v/>
      </c>
      <c r="G120">
        <f>INDEX(map!$C$2:$C$12,MATCH(actuals!E120,map!$A$2:$A$12,0))</f>
        <v/>
      </c>
    </row>
    <row r="121">
      <c r="A121">
        <f>actuals!A121</f>
        <v/>
      </c>
      <c r="B121">
        <f>actuals!B121</f>
        <v/>
      </c>
      <c r="C121">
        <f>actuals!E121</f>
        <v/>
      </c>
      <c r="D121">
        <f>IF(actuals!G121="revenue",-1,1)*IFERROR(actuals!H121,VALUE(SUBSTITUTE(SUBSTITUTE(SUBSTITUTE(actuals!H121,"(","-"),")",""),",","")))</f>
        <v/>
      </c>
      <c r="E121">
        <f>INDEX(map!$B$2:$B$12,MATCH(actuals!E121,map!$A$2:$A$12,0))</f>
        <v/>
      </c>
      <c r="F121">
        <f>IF(COUNTIF($A$2:$A121,actuals!A121)=1,1,0)</f>
        <v/>
      </c>
      <c r="G121">
        <f>INDEX(map!$C$2:$C$12,MATCH(actuals!E121,map!$A$2:$A$12,0))</f>
        <v/>
      </c>
    </row>
    <row r="122">
      <c r="A122">
        <f>actuals!A122</f>
        <v/>
      </c>
      <c r="B122">
        <f>actuals!B122</f>
        <v/>
      </c>
      <c r="C122">
        <f>actuals!E122</f>
        <v/>
      </c>
      <c r="D122">
        <f>IF(actuals!G122="revenue",-1,1)*IFERROR(actuals!H122,VALUE(SUBSTITUTE(SUBSTITUTE(SUBSTITUTE(actuals!H122,"(","-"),")",""),",","")))</f>
        <v/>
      </c>
      <c r="E122">
        <f>INDEX(map!$B$2:$B$12,MATCH(actuals!E122,map!$A$2:$A$12,0))</f>
        <v/>
      </c>
      <c r="F122">
        <f>IF(COUNTIF($A$2:$A122,actuals!A122)=1,1,0)</f>
        <v/>
      </c>
      <c r="G122">
        <f>INDEX(map!$C$2:$C$12,MATCH(actuals!E122,map!$A$2:$A$12,0))</f>
        <v/>
      </c>
    </row>
    <row r="123">
      <c r="A123">
        <f>actuals!A123</f>
        <v/>
      </c>
      <c r="B123">
        <f>actuals!B123</f>
        <v/>
      </c>
      <c r="C123">
        <f>actuals!E123</f>
        <v/>
      </c>
      <c r="D123">
        <f>IF(actuals!G123="revenue",-1,1)*IFERROR(actuals!H123,VALUE(SUBSTITUTE(SUBSTITUTE(SUBSTITUTE(actuals!H123,"(","-"),")",""),",","")))</f>
        <v/>
      </c>
      <c r="E123">
        <f>INDEX(map!$B$2:$B$12,MATCH(actuals!E123,map!$A$2:$A$12,0))</f>
        <v/>
      </c>
      <c r="F123">
        <f>IF(COUNTIF($A$2:$A123,actuals!A123)=1,1,0)</f>
        <v/>
      </c>
      <c r="G123">
        <f>INDEX(map!$C$2:$C$12,MATCH(actuals!E123,map!$A$2:$A$12,0))</f>
        <v/>
      </c>
    </row>
    <row r="124">
      <c r="A124">
        <f>actuals!A124</f>
        <v/>
      </c>
      <c r="B124">
        <f>actuals!B124</f>
        <v/>
      </c>
      <c r="C124">
        <f>actuals!E124</f>
        <v/>
      </c>
      <c r="D124">
        <f>IF(actuals!G124="revenue",-1,1)*IFERROR(actuals!H124,VALUE(SUBSTITUTE(SUBSTITUTE(SUBSTITUTE(actuals!H124,"(","-"),")",""),",","")))</f>
        <v/>
      </c>
      <c r="E124">
        <f>INDEX(map!$B$2:$B$12,MATCH(actuals!E124,map!$A$2:$A$12,0))</f>
        <v/>
      </c>
      <c r="F124">
        <f>IF(COUNTIF($A$2:$A124,actuals!A124)=1,1,0)</f>
        <v/>
      </c>
      <c r="G124">
        <f>INDEX(map!$C$2:$C$12,MATCH(actuals!E124,map!$A$2:$A$12,0))</f>
        <v/>
      </c>
    </row>
    <row r="125">
      <c r="A125">
        <f>actuals!A125</f>
        <v/>
      </c>
      <c r="B125">
        <f>actuals!B125</f>
        <v/>
      </c>
      <c r="C125">
        <f>actuals!E125</f>
        <v/>
      </c>
      <c r="D125">
        <f>IF(actuals!G125="revenue",-1,1)*IFERROR(actuals!H125,VALUE(SUBSTITUTE(SUBSTITUTE(SUBSTITUTE(actuals!H125,"(","-"),")",""),",","")))</f>
        <v/>
      </c>
      <c r="E125">
        <f>INDEX(map!$B$2:$B$12,MATCH(actuals!E125,map!$A$2:$A$12,0))</f>
        <v/>
      </c>
      <c r="F125">
        <f>IF(COUNTIF($A$2:$A125,actuals!A125)=1,1,0)</f>
        <v/>
      </c>
      <c r="G125">
        <f>INDEX(map!$C$2:$C$12,MATCH(actuals!E125,map!$A$2:$A$12,0))</f>
        <v/>
      </c>
    </row>
    <row r="126">
      <c r="A126">
        <f>actuals!A126</f>
        <v/>
      </c>
      <c r="B126">
        <f>actuals!B126</f>
        <v/>
      </c>
      <c r="C126">
        <f>actuals!E126</f>
        <v/>
      </c>
      <c r="D126">
        <f>IF(actuals!G126="revenue",-1,1)*IFERROR(actuals!H126,VALUE(SUBSTITUTE(SUBSTITUTE(SUBSTITUTE(actuals!H126,"(","-"),")",""),",","")))</f>
        <v/>
      </c>
      <c r="E126">
        <f>INDEX(map!$B$2:$B$12,MATCH(actuals!E126,map!$A$2:$A$12,0))</f>
        <v/>
      </c>
      <c r="F126">
        <f>IF(COUNTIF($A$2:$A126,actuals!A126)=1,1,0)</f>
        <v/>
      </c>
      <c r="G126">
        <f>INDEX(map!$C$2:$C$12,MATCH(actuals!E126,map!$A$2:$A$12,0))</f>
        <v/>
      </c>
    </row>
    <row r="127">
      <c r="A127">
        <f>actuals!A127</f>
        <v/>
      </c>
      <c r="B127">
        <f>actuals!B127</f>
        <v/>
      </c>
      <c r="C127">
        <f>actuals!E127</f>
        <v/>
      </c>
      <c r="D127">
        <f>IF(actuals!G127="revenue",-1,1)*IFERROR(actuals!H127,VALUE(SUBSTITUTE(SUBSTITUTE(SUBSTITUTE(actuals!H127,"(","-"),")",""),",","")))</f>
        <v/>
      </c>
      <c r="E127">
        <f>INDEX(map!$B$2:$B$12,MATCH(actuals!E127,map!$A$2:$A$12,0))</f>
        <v/>
      </c>
      <c r="F127">
        <f>IF(COUNTIF($A$2:$A127,actuals!A127)=1,1,0)</f>
        <v/>
      </c>
      <c r="G127">
        <f>INDEX(map!$C$2:$C$12,MATCH(actuals!E127,map!$A$2:$A$12,0))</f>
        <v/>
      </c>
    </row>
    <row r="128">
      <c r="A128">
        <f>actuals!A128</f>
        <v/>
      </c>
      <c r="B128">
        <f>actuals!B128</f>
        <v/>
      </c>
      <c r="C128">
        <f>actuals!E128</f>
        <v/>
      </c>
      <c r="D128">
        <f>IF(actuals!G128="revenue",-1,1)*IFERROR(actuals!H128,VALUE(SUBSTITUTE(SUBSTITUTE(SUBSTITUTE(actuals!H128,"(","-"),")",""),",","")))</f>
        <v/>
      </c>
      <c r="E128">
        <f>INDEX(map!$B$2:$B$12,MATCH(actuals!E128,map!$A$2:$A$12,0))</f>
        <v/>
      </c>
      <c r="F128">
        <f>IF(COUNTIF($A$2:$A128,actuals!A128)=1,1,0)</f>
        <v/>
      </c>
      <c r="G128">
        <f>INDEX(map!$C$2:$C$12,MATCH(actuals!E128,map!$A$2:$A$12,0))</f>
        <v/>
      </c>
    </row>
    <row r="129">
      <c r="A129">
        <f>actuals!A129</f>
        <v/>
      </c>
      <c r="B129">
        <f>actuals!B129</f>
        <v/>
      </c>
      <c r="C129">
        <f>actuals!E129</f>
        <v/>
      </c>
      <c r="D129">
        <f>IF(actuals!G129="revenue",-1,1)*IFERROR(actuals!H129,VALUE(SUBSTITUTE(SUBSTITUTE(SUBSTITUTE(actuals!H129,"(","-"),")",""),",","")))</f>
        <v/>
      </c>
      <c r="E129">
        <f>INDEX(map!$B$2:$B$12,MATCH(actuals!E129,map!$A$2:$A$12,0))</f>
        <v/>
      </c>
      <c r="F129">
        <f>IF(COUNTIF($A$2:$A129,actuals!A129)=1,1,0)</f>
        <v/>
      </c>
      <c r="G129">
        <f>INDEX(map!$C$2:$C$12,MATCH(actuals!E129,map!$A$2:$A$12,0))</f>
        <v/>
      </c>
    </row>
    <row r="130">
      <c r="A130">
        <f>actuals!A130</f>
        <v/>
      </c>
      <c r="B130">
        <f>actuals!B130</f>
        <v/>
      </c>
      <c r="C130">
        <f>actuals!E130</f>
        <v/>
      </c>
      <c r="D130">
        <f>IF(actuals!G130="revenue",-1,1)*IFERROR(actuals!H130,VALUE(SUBSTITUTE(SUBSTITUTE(SUBSTITUTE(actuals!H130,"(","-"),")",""),",","")))</f>
        <v/>
      </c>
      <c r="E130">
        <f>INDEX(map!$B$2:$B$12,MATCH(actuals!E130,map!$A$2:$A$12,0))</f>
        <v/>
      </c>
      <c r="F130">
        <f>IF(COUNTIF($A$2:$A130,actuals!A130)=1,1,0)</f>
        <v/>
      </c>
      <c r="G130">
        <f>INDEX(map!$C$2:$C$12,MATCH(actuals!E130,map!$A$2:$A$12,0))</f>
        <v/>
      </c>
    </row>
    <row r="131">
      <c r="A131">
        <f>actuals!A131</f>
        <v/>
      </c>
      <c r="B131">
        <f>actuals!B131</f>
        <v/>
      </c>
      <c r="C131">
        <f>actuals!E131</f>
        <v/>
      </c>
      <c r="D131">
        <f>IF(actuals!G131="revenue",-1,1)*IFERROR(actuals!H131,VALUE(SUBSTITUTE(SUBSTITUTE(SUBSTITUTE(actuals!H131,"(","-"),")",""),",","")))</f>
        <v/>
      </c>
      <c r="E131">
        <f>INDEX(map!$B$2:$B$12,MATCH(actuals!E131,map!$A$2:$A$12,0))</f>
        <v/>
      </c>
      <c r="F131">
        <f>IF(COUNTIF($A$2:$A131,actuals!A131)=1,1,0)</f>
        <v/>
      </c>
      <c r="G131">
        <f>INDEX(map!$C$2:$C$12,MATCH(actuals!E131,map!$A$2:$A$12,0))</f>
        <v/>
      </c>
    </row>
    <row r="132">
      <c r="A132">
        <f>actuals!A132</f>
        <v/>
      </c>
      <c r="B132">
        <f>actuals!B132</f>
        <v/>
      </c>
      <c r="C132">
        <f>actuals!E132</f>
        <v/>
      </c>
      <c r="D132">
        <f>IF(actuals!G132="revenue",-1,1)*IFERROR(actuals!H132,VALUE(SUBSTITUTE(SUBSTITUTE(SUBSTITUTE(actuals!H132,"(","-"),")",""),",","")))</f>
        <v/>
      </c>
      <c r="E132">
        <f>INDEX(map!$B$2:$B$12,MATCH(actuals!E132,map!$A$2:$A$12,0))</f>
        <v/>
      </c>
      <c r="F132">
        <f>IF(COUNTIF($A$2:$A132,actuals!A132)=1,1,0)</f>
        <v/>
      </c>
      <c r="G132">
        <f>INDEX(map!$C$2:$C$12,MATCH(actuals!E132,map!$A$2:$A$12,0))</f>
        <v/>
      </c>
    </row>
    <row r="133">
      <c r="A133">
        <f>actuals!A133</f>
        <v/>
      </c>
      <c r="B133">
        <f>actuals!B133</f>
        <v/>
      </c>
      <c r="C133">
        <f>actuals!E133</f>
        <v/>
      </c>
      <c r="D133">
        <f>IF(actuals!G133="revenue",-1,1)*IFERROR(actuals!H133,VALUE(SUBSTITUTE(SUBSTITUTE(SUBSTITUTE(actuals!H133,"(","-"),")",""),",","")))</f>
        <v/>
      </c>
      <c r="E133">
        <f>INDEX(map!$B$2:$B$12,MATCH(actuals!E133,map!$A$2:$A$12,0))</f>
        <v/>
      </c>
      <c r="F133">
        <f>IF(COUNTIF($A$2:$A133,actuals!A133)=1,1,0)</f>
        <v/>
      </c>
      <c r="G133">
        <f>INDEX(map!$C$2:$C$12,MATCH(actuals!E133,map!$A$2:$A$12,0))</f>
        <v/>
      </c>
    </row>
    <row r="134">
      <c r="A134">
        <f>actuals!A134</f>
        <v/>
      </c>
      <c r="B134">
        <f>actuals!B134</f>
        <v/>
      </c>
      <c r="C134">
        <f>actuals!E134</f>
        <v/>
      </c>
      <c r="D134">
        <f>IF(actuals!G134="revenue",-1,1)*IFERROR(actuals!H134,VALUE(SUBSTITUTE(SUBSTITUTE(SUBSTITUTE(actuals!H134,"(","-"),")",""),",","")))</f>
        <v/>
      </c>
      <c r="E134">
        <f>INDEX(map!$B$2:$B$12,MATCH(actuals!E134,map!$A$2:$A$12,0))</f>
        <v/>
      </c>
      <c r="F134">
        <f>IF(COUNTIF($A$2:$A134,actuals!A134)=1,1,0)</f>
        <v/>
      </c>
      <c r="G134">
        <f>INDEX(map!$C$2:$C$12,MATCH(actuals!E134,map!$A$2:$A$12,0))</f>
        <v/>
      </c>
    </row>
    <row r="135">
      <c r="A135">
        <f>actuals!A135</f>
        <v/>
      </c>
      <c r="B135">
        <f>actuals!B135</f>
        <v/>
      </c>
      <c r="C135">
        <f>actuals!E135</f>
        <v/>
      </c>
      <c r="D135">
        <f>IF(actuals!G135="revenue",-1,1)*IFERROR(actuals!H135,VALUE(SUBSTITUTE(SUBSTITUTE(SUBSTITUTE(actuals!H135,"(","-"),")",""),",","")))</f>
        <v/>
      </c>
      <c r="E135">
        <f>INDEX(map!$B$2:$B$12,MATCH(actuals!E135,map!$A$2:$A$12,0))</f>
        <v/>
      </c>
      <c r="F135">
        <f>IF(COUNTIF($A$2:$A135,actuals!A135)=1,1,0)</f>
        <v/>
      </c>
      <c r="G135">
        <f>INDEX(map!$C$2:$C$12,MATCH(actuals!E135,map!$A$2:$A$12,0))</f>
        <v/>
      </c>
    </row>
    <row r="136">
      <c r="A136">
        <f>actuals!A136</f>
        <v/>
      </c>
      <c r="B136">
        <f>actuals!B136</f>
        <v/>
      </c>
      <c r="C136">
        <f>actuals!E136</f>
        <v/>
      </c>
      <c r="D136">
        <f>IF(actuals!G136="revenue",-1,1)*IFERROR(actuals!H136,VALUE(SUBSTITUTE(SUBSTITUTE(SUBSTITUTE(actuals!H136,"(","-"),")",""),",","")))</f>
        <v/>
      </c>
      <c r="E136">
        <f>INDEX(map!$B$2:$B$12,MATCH(actuals!E136,map!$A$2:$A$12,0))</f>
        <v/>
      </c>
      <c r="F136">
        <f>IF(COUNTIF($A$2:$A136,actuals!A136)=1,1,0)</f>
        <v/>
      </c>
      <c r="G136">
        <f>INDEX(map!$C$2:$C$12,MATCH(actuals!E136,map!$A$2:$A$12,0))</f>
        <v/>
      </c>
    </row>
    <row r="137">
      <c r="A137">
        <f>actuals!A137</f>
        <v/>
      </c>
      <c r="B137">
        <f>actuals!B137</f>
        <v/>
      </c>
      <c r="C137">
        <f>actuals!E137</f>
        <v/>
      </c>
      <c r="D137">
        <f>IF(actuals!G137="revenue",-1,1)*IFERROR(actuals!H137,VALUE(SUBSTITUTE(SUBSTITUTE(SUBSTITUTE(actuals!H137,"(","-"),")",""),",","")))</f>
        <v/>
      </c>
      <c r="E137">
        <f>INDEX(map!$B$2:$B$12,MATCH(actuals!E137,map!$A$2:$A$12,0))</f>
        <v/>
      </c>
      <c r="F137">
        <f>IF(COUNTIF($A$2:$A137,actuals!A137)=1,1,0)</f>
        <v/>
      </c>
      <c r="G137">
        <f>INDEX(map!$C$2:$C$12,MATCH(actuals!E137,map!$A$2:$A$12,0))</f>
        <v/>
      </c>
    </row>
    <row r="138">
      <c r="A138">
        <f>actuals!A138</f>
        <v/>
      </c>
      <c r="B138">
        <f>actuals!B138</f>
        <v/>
      </c>
      <c r="C138">
        <f>actuals!E138</f>
        <v/>
      </c>
      <c r="D138">
        <f>IF(actuals!G138="revenue",-1,1)*IFERROR(actuals!H138,VALUE(SUBSTITUTE(SUBSTITUTE(SUBSTITUTE(actuals!H138,"(","-"),")",""),",","")))</f>
        <v/>
      </c>
      <c r="E138">
        <f>INDEX(map!$B$2:$B$12,MATCH(actuals!E138,map!$A$2:$A$12,0))</f>
        <v/>
      </c>
      <c r="F138">
        <f>IF(COUNTIF($A$2:$A138,actuals!A138)=1,1,0)</f>
        <v/>
      </c>
      <c r="G138">
        <f>INDEX(map!$C$2:$C$12,MATCH(actuals!E138,map!$A$2:$A$12,0))</f>
        <v/>
      </c>
    </row>
    <row r="139">
      <c r="A139">
        <f>actuals!A139</f>
        <v/>
      </c>
      <c r="B139">
        <f>actuals!B139</f>
        <v/>
      </c>
      <c r="C139">
        <f>actuals!E139</f>
        <v/>
      </c>
      <c r="D139">
        <f>IF(actuals!G139="revenue",-1,1)*IFERROR(actuals!H139,VALUE(SUBSTITUTE(SUBSTITUTE(SUBSTITUTE(actuals!H139,"(","-"),")",""),",","")))</f>
        <v/>
      </c>
      <c r="E139">
        <f>INDEX(map!$B$2:$B$12,MATCH(actuals!E139,map!$A$2:$A$12,0))</f>
        <v/>
      </c>
      <c r="F139">
        <f>IF(COUNTIF($A$2:$A139,actuals!A139)=1,1,0)</f>
        <v/>
      </c>
      <c r="G139">
        <f>INDEX(map!$C$2:$C$12,MATCH(actuals!E139,map!$A$2:$A$12,0))</f>
        <v/>
      </c>
    </row>
    <row r="140">
      <c r="A140">
        <f>actuals!A140</f>
        <v/>
      </c>
      <c r="B140">
        <f>actuals!B140</f>
        <v/>
      </c>
      <c r="C140">
        <f>actuals!E140</f>
        <v/>
      </c>
      <c r="D140">
        <f>IF(actuals!G140="revenue",-1,1)*IFERROR(actuals!H140,VALUE(SUBSTITUTE(SUBSTITUTE(SUBSTITUTE(actuals!H140,"(","-"),")",""),",","")))</f>
        <v/>
      </c>
      <c r="E140">
        <f>INDEX(map!$B$2:$B$12,MATCH(actuals!E140,map!$A$2:$A$12,0))</f>
        <v/>
      </c>
      <c r="F140">
        <f>IF(COUNTIF($A$2:$A140,actuals!A140)=1,1,0)</f>
        <v/>
      </c>
      <c r="G140">
        <f>INDEX(map!$C$2:$C$12,MATCH(actuals!E140,map!$A$2:$A$12,0))</f>
        <v/>
      </c>
    </row>
    <row r="141">
      <c r="A141">
        <f>actuals!A141</f>
        <v/>
      </c>
      <c r="B141">
        <f>actuals!B141</f>
        <v/>
      </c>
      <c r="C141">
        <f>actuals!E141</f>
        <v/>
      </c>
      <c r="D141">
        <f>IF(actuals!G141="revenue",-1,1)*IFERROR(actuals!H141,VALUE(SUBSTITUTE(SUBSTITUTE(SUBSTITUTE(actuals!H141,"(","-"),")",""),",","")))</f>
        <v/>
      </c>
      <c r="E141">
        <f>INDEX(map!$B$2:$B$12,MATCH(actuals!E141,map!$A$2:$A$12,0))</f>
        <v/>
      </c>
      <c r="F141">
        <f>IF(COUNTIF($A$2:$A141,actuals!A141)=1,1,0)</f>
        <v/>
      </c>
      <c r="G141">
        <f>INDEX(map!$C$2:$C$12,MATCH(actuals!E141,map!$A$2:$A$12,0))</f>
        <v/>
      </c>
    </row>
    <row r="142">
      <c r="A142">
        <f>actuals!A142</f>
        <v/>
      </c>
      <c r="B142">
        <f>actuals!B142</f>
        <v/>
      </c>
      <c r="C142">
        <f>actuals!E142</f>
        <v/>
      </c>
      <c r="D142">
        <f>IF(actuals!G142="revenue",-1,1)*IFERROR(actuals!H142,VALUE(SUBSTITUTE(SUBSTITUTE(SUBSTITUTE(actuals!H142,"(","-"),")",""),",","")))</f>
        <v/>
      </c>
      <c r="E142">
        <f>INDEX(map!$B$2:$B$12,MATCH(actuals!E142,map!$A$2:$A$12,0))</f>
        <v/>
      </c>
      <c r="F142">
        <f>IF(COUNTIF($A$2:$A142,actuals!A142)=1,1,0)</f>
        <v/>
      </c>
      <c r="G142">
        <f>INDEX(map!$C$2:$C$12,MATCH(actuals!E142,map!$A$2:$A$12,0))</f>
        <v/>
      </c>
    </row>
    <row r="143">
      <c r="A143">
        <f>actuals!A143</f>
        <v/>
      </c>
      <c r="B143">
        <f>actuals!B143</f>
        <v/>
      </c>
      <c r="C143">
        <f>actuals!E143</f>
        <v/>
      </c>
      <c r="D143">
        <f>IF(actuals!G143="revenue",-1,1)*IFERROR(actuals!H143,VALUE(SUBSTITUTE(SUBSTITUTE(SUBSTITUTE(actuals!H143,"(","-"),")",""),",","")))</f>
        <v/>
      </c>
      <c r="E143">
        <f>INDEX(map!$B$2:$B$12,MATCH(actuals!E143,map!$A$2:$A$12,0))</f>
        <v/>
      </c>
      <c r="F143">
        <f>IF(COUNTIF($A$2:$A143,actuals!A143)=1,1,0)</f>
        <v/>
      </c>
      <c r="G143">
        <f>INDEX(map!$C$2:$C$12,MATCH(actuals!E143,map!$A$2:$A$12,0))</f>
        <v/>
      </c>
    </row>
    <row r="144">
      <c r="A144">
        <f>actuals!A144</f>
        <v/>
      </c>
      <c r="B144">
        <f>actuals!B144</f>
        <v/>
      </c>
      <c r="C144">
        <f>actuals!E144</f>
        <v/>
      </c>
      <c r="D144">
        <f>IF(actuals!G144="revenue",-1,1)*IFERROR(actuals!H144,VALUE(SUBSTITUTE(SUBSTITUTE(SUBSTITUTE(actuals!H144,"(","-"),")",""),",","")))</f>
        <v/>
      </c>
      <c r="E144">
        <f>INDEX(map!$B$2:$B$12,MATCH(actuals!E144,map!$A$2:$A$12,0))</f>
        <v/>
      </c>
      <c r="F144">
        <f>IF(COUNTIF($A$2:$A144,actuals!A144)=1,1,0)</f>
        <v/>
      </c>
      <c r="G144">
        <f>INDEX(map!$C$2:$C$12,MATCH(actuals!E144,map!$A$2:$A$12,0))</f>
        <v/>
      </c>
    </row>
    <row r="145">
      <c r="A145">
        <f>actuals!A145</f>
        <v/>
      </c>
      <c r="B145">
        <f>actuals!B145</f>
        <v/>
      </c>
      <c r="C145">
        <f>actuals!E145</f>
        <v/>
      </c>
      <c r="D145">
        <f>IF(actuals!G145="revenue",-1,1)*IFERROR(actuals!H145,VALUE(SUBSTITUTE(SUBSTITUTE(SUBSTITUTE(actuals!H145,"(","-"),")",""),",","")))</f>
        <v/>
      </c>
      <c r="E145">
        <f>INDEX(map!$B$2:$B$12,MATCH(actuals!E145,map!$A$2:$A$12,0))</f>
        <v/>
      </c>
      <c r="F145">
        <f>IF(COUNTIF($A$2:$A145,actuals!A145)=1,1,0)</f>
        <v/>
      </c>
      <c r="G145">
        <f>INDEX(map!$C$2:$C$12,MATCH(actuals!E145,map!$A$2:$A$12,0))</f>
        <v/>
      </c>
    </row>
    <row r="146">
      <c r="A146">
        <f>actuals!A146</f>
        <v/>
      </c>
      <c r="B146">
        <f>actuals!B146</f>
        <v/>
      </c>
      <c r="C146">
        <f>actuals!E146</f>
        <v/>
      </c>
      <c r="D146">
        <f>IF(actuals!G146="revenue",-1,1)*IFERROR(actuals!H146,VALUE(SUBSTITUTE(SUBSTITUTE(SUBSTITUTE(actuals!H146,"(","-"),")",""),",","")))</f>
        <v/>
      </c>
      <c r="E146">
        <f>INDEX(map!$B$2:$B$12,MATCH(actuals!E146,map!$A$2:$A$12,0))</f>
        <v/>
      </c>
      <c r="F146">
        <f>IF(COUNTIF($A$2:$A146,actuals!A146)=1,1,0)</f>
        <v/>
      </c>
      <c r="G146">
        <f>INDEX(map!$C$2:$C$12,MATCH(actuals!E146,map!$A$2:$A$12,0))</f>
        <v/>
      </c>
    </row>
    <row r="147">
      <c r="A147">
        <f>actuals!A147</f>
        <v/>
      </c>
      <c r="B147">
        <f>actuals!B147</f>
        <v/>
      </c>
      <c r="C147">
        <f>actuals!E147</f>
        <v/>
      </c>
      <c r="D147">
        <f>IF(actuals!G147="revenue",-1,1)*IFERROR(actuals!H147,VALUE(SUBSTITUTE(SUBSTITUTE(SUBSTITUTE(actuals!H147,"(","-"),")",""),",","")))</f>
        <v/>
      </c>
      <c r="E147">
        <f>INDEX(map!$B$2:$B$12,MATCH(actuals!E147,map!$A$2:$A$12,0))</f>
        <v/>
      </c>
      <c r="F147">
        <f>IF(COUNTIF($A$2:$A147,actuals!A147)=1,1,0)</f>
        <v/>
      </c>
      <c r="G147">
        <f>INDEX(map!$C$2:$C$12,MATCH(actuals!E147,map!$A$2:$A$12,0))</f>
        <v/>
      </c>
    </row>
    <row r="148">
      <c r="A148">
        <f>actuals!A148</f>
        <v/>
      </c>
      <c r="B148">
        <f>actuals!B148</f>
        <v/>
      </c>
      <c r="C148">
        <f>actuals!E148</f>
        <v/>
      </c>
      <c r="D148">
        <f>IF(actuals!G148="revenue",-1,1)*IFERROR(actuals!H148,VALUE(SUBSTITUTE(SUBSTITUTE(SUBSTITUTE(actuals!H148,"(","-"),")",""),",","")))</f>
        <v/>
      </c>
      <c r="E148">
        <f>INDEX(map!$B$2:$B$12,MATCH(actuals!E148,map!$A$2:$A$12,0))</f>
        <v/>
      </c>
      <c r="F148">
        <f>IF(COUNTIF($A$2:$A148,actuals!A148)=1,1,0)</f>
        <v/>
      </c>
      <c r="G148">
        <f>INDEX(map!$C$2:$C$12,MATCH(actuals!E148,map!$A$2:$A$12,0))</f>
        <v/>
      </c>
    </row>
    <row r="149">
      <c r="A149">
        <f>actuals!A149</f>
        <v/>
      </c>
      <c r="B149">
        <f>actuals!B149</f>
        <v/>
      </c>
      <c r="C149">
        <f>actuals!E149</f>
        <v/>
      </c>
      <c r="D149">
        <f>IF(actuals!G149="revenue",-1,1)*IFERROR(actuals!H149,VALUE(SUBSTITUTE(SUBSTITUTE(SUBSTITUTE(actuals!H149,"(","-"),")",""),",","")))</f>
        <v/>
      </c>
      <c r="E149">
        <f>INDEX(map!$B$2:$B$12,MATCH(actuals!E149,map!$A$2:$A$12,0))</f>
        <v/>
      </c>
      <c r="F149">
        <f>IF(COUNTIF($A$2:$A149,actuals!A149)=1,1,0)</f>
        <v/>
      </c>
      <c r="G149">
        <f>INDEX(map!$C$2:$C$12,MATCH(actuals!E149,map!$A$2:$A$12,0))</f>
        <v/>
      </c>
    </row>
    <row r="150">
      <c r="A150">
        <f>actuals!A150</f>
        <v/>
      </c>
      <c r="B150">
        <f>actuals!B150</f>
        <v/>
      </c>
      <c r="C150">
        <f>actuals!E150</f>
        <v/>
      </c>
      <c r="D150">
        <f>IF(actuals!G150="revenue",-1,1)*IFERROR(actuals!H150,VALUE(SUBSTITUTE(SUBSTITUTE(SUBSTITUTE(actuals!H150,"(","-"),")",""),",","")))</f>
        <v/>
      </c>
      <c r="E150">
        <f>INDEX(map!$B$2:$B$12,MATCH(actuals!E150,map!$A$2:$A$12,0))</f>
        <v/>
      </c>
      <c r="F150">
        <f>IF(COUNTIF($A$2:$A150,actuals!A150)=1,1,0)</f>
        <v/>
      </c>
      <c r="G150">
        <f>INDEX(map!$C$2:$C$12,MATCH(actuals!E150,map!$A$2:$A$12,0))</f>
        <v/>
      </c>
    </row>
    <row r="151">
      <c r="A151">
        <f>actuals!A151</f>
        <v/>
      </c>
      <c r="B151">
        <f>actuals!B151</f>
        <v/>
      </c>
      <c r="C151">
        <f>actuals!E151</f>
        <v/>
      </c>
      <c r="D151">
        <f>IF(actuals!G151="revenue",-1,1)*IFERROR(actuals!H151,VALUE(SUBSTITUTE(SUBSTITUTE(SUBSTITUTE(actuals!H151,"(","-"),")",""),",","")))</f>
        <v/>
      </c>
      <c r="E151">
        <f>INDEX(map!$B$2:$B$12,MATCH(actuals!E151,map!$A$2:$A$12,0))</f>
        <v/>
      </c>
      <c r="F151">
        <f>IF(COUNTIF($A$2:$A151,actuals!A151)=1,1,0)</f>
        <v/>
      </c>
      <c r="G151">
        <f>INDEX(map!$C$2:$C$12,MATCH(actuals!E151,map!$A$2:$A$12,0))</f>
        <v/>
      </c>
    </row>
    <row r="152">
      <c r="A152">
        <f>actuals!A152</f>
        <v/>
      </c>
      <c r="B152">
        <f>actuals!B152</f>
        <v/>
      </c>
      <c r="C152">
        <f>actuals!E152</f>
        <v/>
      </c>
      <c r="D152">
        <f>IF(actuals!G152="revenue",-1,1)*IFERROR(actuals!H152,VALUE(SUBSTITUTE(SUBSTITUTE(SUBSTITUTE(actuals!H152,"(","-"),")",""),",","")))</f>
        <v/>
      </c>
      <c r="E152">
        <f>INDEX(map!$B$2:$B$12,MATCH(actuals!E152,map!$A$2:$A$12,0))</f>
        <v/>
      </c>
      <c r="F152">
        <f>IF(COUNTIF($A$2:$A152,actuals!A152)=1,1,0)</f>
        <v/>
      </c>
      <c r="G152">
        <f>INDEX(map!$C$2:$C$12,MATCH(actuals!E152,map!$A$2:$A$12,0))</f>
        <v/>
      </c>
    </row>
    <row r="153">
      <c r="A153">
        <f>actuals!A153</f>
        <v/>
      </c>
      <c r="B153">
        <f>actuals!B153</f>
        <v/>
      </c>
      <c r="C153">
        <f>actuals!E153</f>
        <v/>
      </c>
      <c r="D153">
        <f>IF(actuals!G153="revenue",-1,1)*IFERROR(actuals!H153,VALUE(SUBSTITUTE(SUBSTITUTE(SUBSTITUTE(actuals!H153,"(","-"),")",""),",","")))</f>
        <v/>
      </c>
      <c r="E153">
        <f>INDEX(map!$B$2:$B$12,MATCH(actuals!E153,map!$A$2:$A$12,0))</f>
        <v/>
      </c>
      <c r="F153">
        <f>IF(COUNTIF($A$2:$A153,actuals!A153)=1,1,0)</f>
        <v/>
      </c>
      <c r="G153">
        <f>INDEX(map!$C$2:$C$12,MATCH(actuals!E153,map!$A$2:$A$12,0))</f>
        <v/>
      </c>
    </row>
    <row r="154">
      <c r="A154">
        <f>actuals!A154</f>
        <v/>
      </c>
      <c r="B154">
        <f>actuals!B154</f>
        <v/>
      </c>
      <c r="C154">
        <f>actuals!E154</f>
        <v/>
      </c>
      <c r="D154">
        <f>IF(actuals!G154="revenue",-1,1)*IFERROR(actuals!H154,VALUE(SUBSTITUTE(SUBSTITUTE(SUBSTITUTE(actuals!H154,"(","-"),")",""),",","")))</f>
        <v/>
      </c>
      <c r="E154">
        <f>INDEX(map!$B$2:$B$12,MATCH(actuals!E154,map!$A$2:$A$12,0))</f>
        <v/>
      </c>
      <c r="F154">
        <f>IF(COUNTIF($A$2:$A154,actuals!A154)=1,1,0)</f>
        <v/>
      </c>
      <c r="G154">
        <f>INDEX(map!$C$2:$C$12,MATCH(actuals!E154,map!$A$2:$A$12,0))</f>
        <v/>
      </c>
    </row>
    <row r="155">
      <c r="A155">
        <f>actuals!A155</f>
        <v/>
      </c>
      <c r="B155">
        <f>actuals!B155</f>
        <v/>
      </c>
      <c r="C155">
        <f>actuals!E155</f>
        <v/>
      </c>
      <c r="D155">
        <f>IF(actuals!G155="revenue",-1,1)*IFERROR(actuals!H155,VALUE(SUBSTITUTE(SUBSTITUTE(SUBSTITUTE(actuals!H155,"(","-"),")",""),",","")))</f>
        <v/>
      </c>
      <c r="E155">
        <f>INDEX(map!$B$2:$B$12,MATCH(actuals!E155,map!$A$2:$A$12,0))</f>
        <v/>
      </c>
      <c r="F155">
        <f>IF(COUNTIF($A$2:$A155,actuals!A155)=1,1,0)</f>
        <v/>
      </c>
      <c r="G155">
        <f>INDEX(map!$C$2:$C$12,MATCH(actuals!E155,map!$A$2:$A$12,0))</f>
        <v/>
      </c>
    </row>
    <row r="156">
      <c r="A156">
        <f>actuals!A156</f>
        <v/>
      </c>
      <c r="B156">
        <f>actuals!B156</f>
        <v/>
      </c>
      <c r="C156">
        <f>actuals!E156</f>
        <v/>
      </c>
      <c r="D156">
        <f>IF(actuals!G156="revenue",-1,1)*IFERROR(actuals!H156,VALUE(SUBSTITUTE(SUBSTITUTE(SUBSTITUTE(actuals!H156,"(","-"),")",""),",","")))</f>
        <v/>
      </c>
      <c r="E156">
        <f>INDEX(map!$B$2:$B$12,MATCH(actuals!E156,map!$A$2:$A$12,0))</f>
        <v/>
      </c>
      <c r="F156">
        <f>IF(COUNTIF($A$2:$A156,actuals!A156)=1,1,0)</f>
        <v/>
      </c>
      <c r="G156">
        <f>INDEX(map!$C$2:$C$12,MATCH(actuals!E156,map!$A$2:$A$12,0))</f>
        <v/>
      </c>
    </row>
    <row r="157">
      <c r="A157">
        <f>actuals!A157</f>
        <v/>
      </c>
      <c r="B157">
        <f>actuals!B157</f>
        <v/>
      </c>
      <c r="C157">
        <f>actuals!E157</f>
        <v/>
      </c>
      <c r="D157">
        <f>IF(actuals!G157="revenue",-1,1)*IFERROR(actuals!H157,VALUE(SUBSTITUTE(SUBSTITUTE(SUBSTITUTE(actuals!H157,"(","-"),")",""),",","")))</f>
        <v/>
      </c>
      <c r="E157">
        <f>INDEX(map!$B$2:$B$12,MATCH(actuals!E157,map!$A$2:$A$12,0))</f>
        <v/>
      </c>
      <c r="F157">
        <f>IF(COUNTIF($A$2:$A157,actuals!A157)=1,1,0)</f>
        <v/>
      </c>
      <c r="G157">
        <f>INDEX(map!$C$2:$C$12,MATCH(actuals!E157,map!$A$2:$A$12,0))</f>
        <v/>
      </c>
    </row>
    <row r="158">
      <c r="A158">
        <f>actuals!A158</f>
        <v/>
      </c>
      <c r="B158">
        <f>actuals!B158</f>
        <v/>
      </c>
      <c r="C158">
        <f>actuals!E158</f>
        <v/>
      </c>
      <c r="D158">
        <f>IF(actuals!G158="revenue",-1,1)*IFERROR(actuals!H158,VALUE(SUBSTITUTE(SUBSTITUTE(SUBSTITUTE(actuals!H158,"(","-"),")",""),",","")))</f>
        <v/>
      </c>
      <c r="E158">
        <f>INDEX(map!$B$2:$B$12,MATCH(actuals!E158,map!$A$2:$A$12,0))</f>
        <v/>
      </c>
      <c r="F158">
        <f>IF(COUNTIF($A$2:$A158,actuals!A158)=1,1,0)</f>
        <v/>
      </c>
      <c r="G158">
        <f>INDEX(map!$C$2:$C$12,MATCH(actuals!E158,map!$A$2:$A$12,0))</f>
        <v/>
      </c>
    </row>
    <row r="159">
      <c r="A159">
        <f>actuals!A159</f>
        <v/>
      </c>
      <c r="B159">
        <f>actuals!B159</f>
        <v/>
      </c>
      <c r="C159">
        <f>actuals!E159</f>
        <v/>
      </c>
      <c r="D159">
        <f>IF(actuals!G159="revenue",-1,1)*IFERROR(actuals!H159,VALUE(SUBSTITUTE(SUBSTITUTE(SUBSTITUTE(actuals!H159,"(","-"),")",""),",","")))</f>
        <v/>
      </c>
      <c r="E159">
        <f>INDEX(map!$B$2:$B$12,MATCH(actuals!E159,map!$A$2:$A$12,0))</f>
        <v/>
      </c>
      <c r="F159">
        <f>IF(COUNTIF($A$2:$A159,actuals!A159)=1,1,0)</f>
        <v/>
      </c>
      <c r="G159">
        <f>INDEX(map!$C$2:$C$12,MATCH(actuals!E159,map!$A$2:$A$12,0))</f>
        <v/>
      </c>
    </row>
    <row r="160">
      <c r="A160">
        <f>actuals!A160</f>
        <v/>
      </c>
      <c r="B160">
        <f>actuals!B160</f>
        <v/>
      </c>
      <c r="C160">
        <f>actuals!E160</f>
        <v/>
      </c>
      <c r="D160">
        <f>IF(actuals!G160="revenue",-1,1)*IFERROR(actuals!H160,VALUE(SUBSTITUTE(SUBSTITUTE(SUBSTITUTE(actuals!H160,"(","-"),")",""),",","")))</f>
        <v/>
      </c>
      <c r="E160">
        <f>INDEX(map!$B$2:$B$12,MATCH(actuals!E160,map!$A$2:$A$12,0))</f>
        <v/>
      </c>
      <c r="F160">
        <f>IF(COUNTIF($A$2:$A160,actuals!A160)=1,1,0)</f>
        <v/>
      </c>
      <c r="G160">
        <f>INDEX(map!$C$2:$C$12,MATCH(actuals!E160,map!$A$2:$A$12,0))</f>
        <v/>
      </c>
    </row>
    <row r="161">
      <c r="A161">
        <f>actuals!A161</f>
        <v/>
      </c>
      <c r="B161">
        <f>actuals!B161</f>
        <v/>
      </c>
      <c r="C161">
        <f>actuals!E161</f>
        <v/>
      </c>
      <c r="D161">
        <f>IF(actuals!G161="revenue",-1,1)*IFERROR(actuals!H161,VALUE(SUBSTITUTE(SUBSTITUTE(SUBSTITUTE(actuals!H161,"(","-"),")",""),",","")))</f>
        <v/>
      </c>
      <c r="E161">
        <f>INDEX(map!$B$2:$B$12,MATCH(actuals!E161,map!$A$2:$A$12,0))</f>
        <v/>
      </c>
      <c r="F161">
        <f>IF(COUNTIF($A$2:$A161,actuals!A161)=1,1,0)</f>
        <v/>
      </c>
      <c r="G161">
        <f>INDEX(map!$C$2:$C$12,MATCH(actuals!E161,map!$A$2:$A$12,0))</f>
        <v/>
      </c>
    </row>
    <row r="162">
      <c r="A162">
        <f>actuals!A162</f>
        <v/>
      </c>
      <c r="B162">
        <f>actuals!B162</f>
        <v/>
      </c>
      <c r="C162">
        <f>actuals!E162</f>
        <v/>
      </c>
      <c r="D162">
        <f>IF(actuals!G162="revenue",-1,1)*IFERROR(actuals!H162,VALUE(SUBSTITUTE(SUBSTITUTE(SUBSTITUTE(actuals!H162,"(","-"),")",""),",","")))</f>
        <v/>
      </c>
      <c r="E162">
        <f>INDEX(map!$B$2:$B$12,MATCH(actuals!E162,map!$A$2:$A$12,0))</f>
        <v/>
      </c>
      <c r="F162">
        <f>IF(COUNTIF($A$2:$A162,actuals!A162)=1,1,0)</f>
        <v/>
      </c>
      <c r="G162">
        <f>INDEX(map!$C$2:$C$12,MATCH(actuals!E162,map!$A$2:$A$12,0))</f>
        <v/>
      </c>
    </row>
    <row r="163">
      <c r="A163">
        <f>actuals!A163</f>
        <v/>
      </c>
      <c r="B163">
        <f>actuals!B163</f>
        <v/>
      </c>
      <c r="C163">
        <f>actuals!E163</f>
        <v/>
      </c>
      <c r="D163">
        <f>IF(actuals!G163="revenue",-1,1)*IFERROR(actuals!H163,VALUE(SUBSTITUTE(SUBSTITUTE(SUBSTITUTE(actuals!H163,"(","-"),")",""),",","")))</f>
        <v/>
      </c>
      <c r="E163">
        <f>INDEX(map!$B$2:$B$12,MATCH(actuals!E163,map!$A$2:$A$12,0))</f>
        <v/>
      </c>
      <c r="F163">
        <f>IF(COUNTIF($A$2:$A163,actuals!A163)=1,1,0)</f>
        <v/>
      </c>
      <c r="G163">
        <f>INDEX(map!$C$2:$C$12,MATCH(actuals!E163,map!$A$2:$A$12,0))</f>
        <v/>
      </c>
    </row>
    <row r="164">
      <c r="A164">
        <f>actuals!A164</f>
        <v/>
      </c>
      <c r="B164">
        <f>actuals!B164</f>
        <v/>
      </c>
      <c r="C164">
        <f>actuals!E164</f>
        <v/>
      </c>
      <c r="D164">
        <f>IF(actuals!G164="revenue",-1,1)*IFERROR(actuals!H164,VALUE(SUBSTITUTE(SUBSTITUTE(SUBSTITUTE(actuals!H164,"(","-"),")",""),",","")))</f>
        <v/>
      </c>
      <c r="E164">
        <f>INDEX(map!$B$2:$B$12,MATCH(actuals!E164,map!$A$2:$A$12,0))</f>
        <v/>
      </c>
      <c r="F164">
        <f>IF(COUNTIF($A$2:$A164,actuals!A164)=1,1,0)</f>
        <v/>
      </c>
      <c r="G164">
        <f>INDEX(map!$C$2:$C$12,MATCH(actuals!E164,map!$A$2:$A$12,0))</f>
        <v/>
      </c>
    </row>
    <row r="165">
      <c r="A165">
        <f>actuals!A165</f>
        <v/>
      </c>
      <c r="B165">
        <f>actuals!B165</f>
        <v/>
      </c>
      <c r="C165">
        <f>actuals!E165</f>
        <v/>
      </c>
      <c r="D165">
        <f>IF(actuals!G165="revenue",-1,1)*IFERROR(actuals!H165,VALUE(SUBSTITUTE(SUBSTITUTE(SUBSTITUTE(actuals!H165,"(","-"),")",""),",","")))</f>
        <v/>
      </c>
      <c r="E165">
        <f>INDEX(map!$B$2:$B$12,MATCH(actuals!E165,map!$A$2:$A$12,0))</f>
        <v/>
      </c>
      <c r="F165">
        <f>IF(COUNTIF($A$2:$A165,actuals!A165)=1,1,0)</f>
        <v/>
      </c>
      <c r="G165">
        <f>INDEX(map!$C$2:$C$12,MATCH(actuals!E165,map!$A$2:$A$12,0))</f>
        <v/>
      </c>
    </row>
    <row r="166">
      <c r="A166">
        <f>actuals!A166</f>
        <v/>
      </c>
      <c r="B166">
        <f>actuals!B166</f>
        <v/>
      </c>
      <c r="C166">
        <f>actuals!E166</f>
        <v/>
      </c>
      <c r="D166">
        <f>IF(actuals!G166="revenue",-1,1)*IFERROR(actuals!H166,VALUE(SUBSTITUTE(SUBSTITUTE(SUBSTITUTE(actuals!H166,"(","-"),")",""),",","")))</f>
        <v/>
      </c>
      <c r="E166">
        <f>INDEX(map!$B$2:$B$12,MATCH(actuals!E166,map!$A$2:$A$12,0))</f>
        <v/>
      </c>
      <c r="F166">
        <f>IF(COUNTIF($A$2:$A166,actuals!A166)=1,1,0)</f>
        <v/>
      </c>
      <c r="G166">
        <f>INDEX(map!$C$2:$C$12,MATCH(actuals!E166,map!$A$2:$A$12,0))</f>
        <v/>
      </c>
    </row>
    <row r="167">
      <c r="A167">
        <f>actuals!A167</f>
        <v/>
      </c>
      <c r="B167">
        <f>actuals!B167</f>
        <v/>
      </c>
      <c r="C167">
        <f>actuals!E167</f>
        <v/>
      </c>
      <c r="D167">
        <f>IF(actuals!G167="revenue",-1,1)*IFERROR(actuals!H167,VALUE(SUBSTITUTE(SUBSTITUTE(SUBSTITUTE(actuals!H167,"(","-"),")",""),",","")))</f>
        <v/>
      </c>
      <c r="E167">
        <f>INDEX(map!$B$2:$B$12,MATCH(actuals!E167,map!$A$2:$A$12,0))</f>
        <v/>
      </c>
      <c r="F167">
        <f>IF(COUNTIF($A$2:$A167,actuals!A167)=1,1,0)</f>
        <v/>
      </c>
      <c r="G167">
        <f>INDEX(map!$C$2:$C$12,MATCH(actuals!E167,map!$A$2:$A$12,0))</f>
        <v/>
      </c>
    </row>
    <row r="168">
      <c r="A168">
        <f>actuals!A168</f>
        <v/>
      </c>
      <c r="B168">
        <f>actuals!B168</f>
        <v/>
      </c>
      <c r="C168">
        <f>actuals!E168</f>
        <v/>
      </c>
      <c r="D168">
        <f>IF(actuals!G168="revenue",-1,1)*IFERROR(actuals!H168,VALUE(SUBSTITUTE(SUBSTITUTE(SUBSTITUTE(actuals!H168,"(","-"),")",""),",","")))</f>
        <v/>
      </c>
      <c r="E168">
        <f>INDEX(map!$B$2:$B$12,MATCH(actuals!E168,map!$A$2:$A$12,0))</f>
        <v/>
      </c>
      <c r="F168">
        <f>IF(COUNTIF($A$2:$A168,actuals!A168)=1,1,0)</f>
        <v/>
      </c>
      <c r="G168">
        <f>INDEX(map!$C$2:$C$12,MATCH(actuals!E168,map!$A$2:$A$12,0))</f>
        <v/>
      </c>
    </row>
    <row r="169">
      <c r="A169">
        <f>actuals!A169</f>
        <v/>
      </c>
      <c r="B169">
        <f>actuals!B169</f>
        <v/>
      </c>
      <c r="C169">
        <f>actuals!E169</f>
        <v/>
      </c>
      <c r="D169">
        <f>IF(actuals!G169="revenue",-1,1)*IFERROR(actuals!H169,VALUE(SUBSTITUTE(SUBSTITUTE(SUBSTITUTE(actuals!H169,"(","-"),")",""),",","")))</f>
        <v/>
      </c>
      <c r="E169">
        <f>INDEX(map!$B$2:$B$12,MATCH(actuals!E169,map!$A$2:$A$12,0))</f>
        <v/>
      </c>
      <c r="F169">
        <f>IF(COUNTIF($A$2:$A169,actuals!A169)=1,1,0)</f>
        <v/>
      </c>
      <c r="G169">
        <f>INDEX(map!$C$2:$C$12,MATCH(actuals!E169,map!$A$2:$A$12,0))</f>
        <v/>
      </c>
    </row>
    <row r="170">
      <c r="A170">
        <f>actuals!A170</f>
        <v/>
      </c>
      <c r="B170">
        <f>actuals!B170</f>
        <v/>
      </c>
      <c r="C170">
        <f>actuals!E170</f>
        <v/>
      </c>
      <c r="D170">
        <f>IF(actuals!G170="revenue",-1,1)*IFERROR(actuals!H170,VALUE(SUBSTITUTE(SUBSTITUTE(SUBSTITUTE(actuals!H170,"(","-"),")",""),",","")))</f>
        <v/>
      </c>
      <c r="E170">
        <f>INDEX(map!$B$2:$B$12,MATCH(actuals!E170,map!$A$2:$A$12,0))</f>
        <v/>
      </c>
      <c r="F170">
        <f>IF(COUNTIF($A$2:$A170,actuals!A170)=1,1,0)</f>
        <v/>
      </c>
      <c r="G170">
        <f>INDEX(map!$C$2:$C$12,MATCH(actuals!E170,map!$A$2:$A$12,0))</f>
        <v/>
      </c>
    </row>
    <row r="171">
      <c r="A171">
        <f>actuals!A171</f>
        <v/>
      </c>
      <c r="B171">
        <f>actuals!B171</f>
        <v/>
      </c>
      <c r="C171">
        <f>actuals!E171</f>
        <v/>
      </c>
      <c r="D171">
        <f>IF(actuals!G171="revenue",-1,1)*IFERROR(actuals!H171,VALUE(SUBSTITUTE(SUBSTITUTE(SUBSTITUTE(actuals!H171,"(","-"),")",""),",","")))</f>
        <v/>
      </c>
      <c r="E171">
        <f>INDEX(map!$B$2:$B$12,MATCH(actuals!E171,map!$A$2:$A$12,0))</f>
        <v/>
      </c>
      <c r="F171">
        <f>IF(COUNTIF($A$2:$A171,actuals!A171)=1,1,0)</f>
        <v/>
      </c>
      <c r="G171">
        <f>INDEX(map!$C$2:$C$12,MATCH(actuals!E171,map!$A$2:$A$12,0))</f>
        <v/>
      </c>
    </row>
    <row r="172">
      <c r="A172">
        <f>actuals!A172</f>
        <v/>
      </c>
      <c r="B172">
        <f>actuals!B172</f>
        <v/>
      </c>
      <c r="C172">
        <f>actuals!E172</f>
        <v/>
      </c>
      <c r="D172">
        <f>IF(actuals!G172="revenue",-1,1)*IFERROR(actuals!H172,VALUE(SUBSTITUTE(SUBSTITUTE(SUBSTITUTE(actuals!H172,"(","-"),")",""),",","")))</f>
        <v/>
      </c>
      <c r="E172">
        <f>INDEX(map!$B$2:$B$12,MATCH(actuals!E172,map!$A$2:$A$12,0))</f>
        <v/>
      </c>
      <c r="F172">
        <f>IF(COUNTIF($A$2:$A172,actuals!A172)=1,1,0)</f>
        <v/>
      </c>
      <c r="G172">
        <f>INDEX(map!$C$2:$C$12,MATCH(actuals!E172,map!$A$2:$A$12,0))</f>
        <v/>
      </c>
    </row>
    <row r="173">
      <c r="A173">
        <f>actuals!A173</f>
        <v/>
      </c>
      <c r="B173">
        <f>actuals!B173</f>
        <v/>
      </c>
      <c r="C173">
        <f>actuals!E173</f>
        <v/>
      </c>
      <c r="D173">
        <f>IF(actuals!G173="revenue",-1,1)*IFERROR(actuals!H173,VALUE(SUBSTITUTE(SUBSTITUTE(SUBSTITUTE(actuals!H173,"(","-"),")",""),",","")))</f>
        <v/>
      </c>
      <c r="E173">
        <f>INDEX(map!$B$2:$B$12,MATCH(actuals!E173,map!$A$2:$A$12,0))</f>
        <v/>
      </c>
      <c r="F173">
        <f>IF(COUNTIF($A$2:$A173,actuals!A173)=1,1,0)</f>
        <v/>
      </c>
      <c r="G173">
        <f>INDEX(map!$C$2:$C$12,MATCH(actuals!E173,map!$A$2:$A$12,0))</f>
        <v/>
      </c>
    </row>
    <row r="174">
      <c r="A174">
        <f>actuals!A174</f>
        <v/>
      </c>
      <c r="B174">
        <f>actuals!B174</f>
        <v/>
      </c>
      <c r="C174">
        <f>actuals!E174</f>
        <v/>
      </c>
      <c r="D174">
        <f>IF(actuals!G174="revenue",-1,1)*IFERROR(actuals!H174,VALUE(SUBSTITUTE(SUBSTITUTE(SUBSTITUTE(actuals!H174,"(","-"),")",""),",","")))</f>
        <v/>
      </c>
      <c r="E174">
        <f>INDEX(map!$B$2:$B$12,MATCH(actuals!E174,map!$A$2:$A$12,0))</f>
        <v/>
      </c>
      <c r="F174">
        <f>IF(COUNTIF($A$2:$A174,actuals!A174)=1,1,0)</f>
        <v/>
      </c>
      <c r="G174">
        <f>INDEX(map!$C$2:$C$12,MATCH(actuals!E174,map!$A$2:$A$12,0))</f>
        <v/>
      </c>
    </row>
    <row r="175">
      <c r="A175">
        <f>actuals!A175</f>
        <v/>
      </c>
      <c r="B175">
        <f>actuals!B175</f>
        <v/>
      </c>
      <c r="C175">
        <f>actuals!E175</f>
        <v/>
      </c>
      <c r="D175">
        <f>IF(actuals!G175="revenue",-1,1)*IFERROR(actuals!H175,VALUE(SUBSTITUTE(SUBSTITUTE(SUBSTITUTE(actuals!H175,"(","-"),")",""),",","")))</f>
        <v/>
      </c>
      <c r="E175">
        <f>INDEX(map!$B$2:$B$12,MATCH(actuals!E175,map!$A$2:$A$12,0))</f>
        <v/>
      </c>
      <c r="F175">
        <f>IF(COUNTIF($A$2:$A175,actuals!A175)=1,1,0)</f>
        <v/>
      </c>
      <c r="G175">
        <f>INDEX(map!$C$2:$C$12,MATCH(actuals!E175,map!$A$2:$A$12,0))</f>
        <v/>
      </c>
    </row>
    <row r="176">
      <c r="A176">
        <f>actuals!A176</f>
        <v/>
      </c>
      <c r="B176">
        <f>actuals!B176</f>
        <v/>
      </c>
      <c r="C176">
        <f>actuals!E176</f>
        <v/>
      </c>
      <c r="D176">
        <f>IF(actuals!G176="revenue",-1,1)*IFERROR(actuals!H176,VALUE(SUBSTITUTE(SUBSTITUTE(SUBSTITUTE(actuals!H176,"(","-"),")",""),",","")))</f>
        <v/>
      </c>
      <c r="E176">
        <f>INDEX(map!$B$2:$B$12,MATCH(actuals!E176,map!$A$2:$A$12,0))</f>
        <v/>
      </c>
      <c r="F176">
        <f>IF(COUNTIF($A$2:$A176,actuals!A176)=1,1,0)</f>
        <v/>
      </c>
      <c r="G176">
        <f>INDEX(map!$C$2:$C$12,MATCH(actuals!E176,map!$A$2:$A$12,0))</f>
        <v/>
      </c>
    </row>
    <row r="177">
      <c r="A177">
        <f>actuals!A177</f>
        <v/>
      </c>
      <c r="B177">
        <f>actuals!B177</f>
        <v/>
      </c>
      <c r="C177">
        <f>actuals!E177</f>
        <v/>
      </c>
      <c r="D177">
        <f>IF(actuals!G177="revenue",-1,1)*IFERROR(actuals!H177,VALUE(SUBSTITUTE(SUBSTITUTE(SUBSTITUTE(actuals!H177,"(","-"),")",""),",","")))</f>
        <v/>
      </c>
      <c r="E177">
        <f>INDEX(map!$B$2:$B$12,MATCH(actuals!E177,map!$A$2:$A$12,0))</f>
        <v/>
      </c>
      <c r="F177">
        <f>IF(COUNTIF($A$2:$A177,actuals!A177)=1,1,0)</f>
        <v/>
      </c>
      <c r="G177">
        <f>INDEX(map!$C$2:$C$12,MATCH(actuals!E177,map!$A$2:$A$12,0))</f>
        <v/>
      </c>
    </row>
    <row r="178">
      <c r="A178">
        <f>actuals!A178</f>
        <v/>
      </c>
      <c r="B178">
        <f>actuals!B178</f>
        <v/>
      </c>
      <c r="C178">
        <f>actuals!E178</f>
        <v/>
      </c>
      <c r="D178">
        <f>IF(actuals!G178="revenue",-1,1)*IFERROR(actuals!H178,VALUE(SUBSTITUTE(SUBSTITUTE(SUBSTITUTE(actuals!H178,"(","-"),")",""),",","")))</f>
        <v/>
      </c>
      <c r="E178">
        <f>INDEX(map!$B$2:$B$12,MATCH(actuals!E178,map!$A$2:$A$12,0))</f>
        <v/>
      </c>
      <c r="F178">
        <f>IF(COUNTIF($A$2:$A178,actuals!A178)=1,1,0)</f>
        <v/>
      </c>
      <c r="G178">
        <f>INDEX(map!$C$2:$C$12,MATCH(actuals!E178,map!$A$2:$A$12,0))</f>
        <v/>
      </c>
    </row>
    <row r="179">
      <c r="A179">
        <f>actuals!A179</f>
        <v/>
      </c>
      <c r="B179">
        <f>actuals!B179</f>
        <v/>
      </c>
      <c r="C179">
        <f>actuals!E179</f>
        <v/>
      </c>
      <c r="D179">
        <f>IF(actuals!G179="revenue",-1,1)*IFERROR(actuals!H179,VALUE(SUBSTITUTE(SUBSTITUTE(SUBSTITUTE(actuals!H179,"(","-"),")",""),",","")))</f>
        <v/>
      </c>
      <c r="E179">
        <f>INDEX(map!$B$2:$B$12,MATCH(actuals!E179,map!$A$2:$A$12,0))</f>
        <v/>
      </c>
      <c r="F179">
        <f>IF(COUNTIF($A$2:$A179,actuals!A179)=1,1,0)</f>
        <v/>
      </c>
      <c r="G179">
        <f>INDEX(map!$C$2:$C$12,MATCH(actuals!E179,map!$A$2:$A$12,0))</f>
        <v/>
      </c>
    </row>
    <row r="180">
      <c r="A180">
        <f>actuals!A180</f>
        <v/>
      </c>
      <c r="B180">
        <f>actuals!B180</f>
        <v/>
      </c>
      <c r="C180">
        <f>actuals!E180</f>
        <v/>
      </c>
      <c r="D180">
        <f>IF(actuals!G180="revenue",-1,1)*IFERROR(actuals!H180,VALUE(SUBSTITUTE(SUBSTITUTE(SUBSTITUTE(actuals!H180,"(","-"),")",""),",","")))</f>
        <v/>
      </c>
      <c r="E180">
        <f>INDEX(map!$B$2:$B$12,MATCH(actuals!E180,map!$A$2:$A$12,0))</f>
        <v/>
      </c>
      <c r="F180">
        <f>IF(COUNTIF($A$2:$A180,actuals!A180)=1,1,0)</f>
        <v/>
      </c>
      <c r="G180">
        <f>INDEX(map!$C$2:$C$12,MATCH(actuals!E180,map!$A$2:$A$12,0))</f>
        <v/>
      </c>
    </row>
    <row r="181">
      <c r="A181">
        <f>actuals!A181</f>
        <v/>
      </c>
      <c r="B181">
        <f>actuals!B181</f>
        <v/>
      </c>
      <c r="C181">
        <f>actuals!E181</f>
        <v/>
      </c>
      <c r="D181">
        <f>IF(actuals!G181="revenue",-1,1)*IFERROR(actuals!H181,VALUE(SUBSTITUTE(SUBSTITUTE(SUBSTITUTE(actuals!H181,"(","-"),")",""),",","")))</f>
        <v/>
      </c>
      <c r="E181">
        <f>INDEX(map!$B$2:$B$12,MATCH(actuals!E181,map!$A$2:$A$12,0))</f>
        <v/>
      </c>
      <c r="F181">
        <f>IF(COUNTIF($A$2:$A181,actuals!A181)=1,1,0)</f>
        <v/>
      </c>
      <c r="G181">
        <f>INDEX(map!$C$2:$C$12,MATCH(actuals!E181,map!$A$2:$A$12,0))</f>
        <v/>
      </c>
    </row>
    <row r="182">
      <c r="A182">
        <f>actuals!A182</f>
        <v/>
      </c>
      <c r="B182">
        <f>actuals!B182</f>
        <v/>
      </c>
      <c r="C182">
        <f>actuals!E182</f>
        <v/>
      </c>
      <c r="D182">
        <f>IF(actuals!G182="revenue",-1,1)*IFERROR(actuals!H182,VALUE(SUBSTITUTE(SUBSTITUTE(SUBSTITUTE(actuals!H182,"(","-"),")",""),",","")))</f>
        <v/>
      </c>
      <c r="E182">
        <f>INDEX(map!$B$2:$B$12,MATCH(actuals!E182,map!$A$2:$A$12,0))</f>
        <v/>
      </c>
      <c r="F182">
        <f>IF(COUNTIF($A$2:$A182,actuals!A182)=1,1,0)</f>
        <v/>
      </c>
      <c r="G182">
        <f>INDEX(map!$C$2:$C$12,MATCH(actuals!E182,map!$A$2:$A$12,0))</f>
        <v/>
      </c>
    </row>
    <row r="183">
      <c r="A183">
        <f>actuals!A183</f>
        <v/>
      </c>
      <c r="B183">
        <f>actuals!B183</f>
        <v/>
      </c>
      <c r="C183">
        <f>actuals!E183</f>
        <v/>
      </c>
      <c r="D183">
        <f>IF(actuals!G183="revenue",-1,1)*IFERROR(actuals!H183,VALUE(SUBSTITUTE(SUBSTITUTE(SUBSTITUTE(actuals!H183,"(","-"),")",""),",","")))</f>
        <v/>
      </c>
      <c r="E183">
        <f>INDEX(map!$B$2:$B$12,MATCH(actuals!E183,map!$A$2:$A$12,0))</f>
        <v/>
      </c>
      <c r="F183">
        <f>IF(COUNTIF($A$2:$A183,actuals!A183)=1,1,0)</f>
        <v/>
      </c>
      <c r="G183">
        <f>INDEX(map!$C$2:$C$12,MATCH(actuals!E183,map!$A$2:$A$12,0))</f>
        <v/>
      </c>
    </row>
    <row r="184">
      <c r="A184">
        <f>actuals!A184</f>
        <v/>
      </c>
      <c r="B184">
        <f>actuals!B184</f>
        <v/>
      </c>
      <c r="C184">
        <f>actuals!E184</f>
        <v/>
      </c>
      <c r="D184">
        <f>IF(actuals!G184="revenue",-1,1)*IFERROR(actuals!H184,VALUE(SUBSTITUTE(SUBSTITUTE(SUBSTITUTE(actuals!H184,"(","-"),")",""),",","")))</f>
        <v/>
      </c>
      <c r="E184">
        <f>INDEX(map!$B$2:$B$12,MATCH(actuals!E184,map!$A$2:$A$12,0))</f>
        <v/>
      </c>
      <c r="F184">
        <f>IF(COUNTIF($A$2:$A184,actuals!A184)=1,1,0)</f>
        <v/>
      </c>
      <c r="G184">
        <f>INDEX(map!$C$2:$C$12,MATCH(actuals!E184,map!$A$2:$A$12,0))</f>
        <v/>
      </c>
    </row>
    <row r="185">
      <c r="A185">
        <f>actuals!A185</f>
        <v/>
      </c>
      <c r="B185">
        <f>actuals!B185</f>
        <v/>
      </c>
      <c r="C185">
        <f>actuals!E185</f>
        <v/>
      </c>
      <c r="D185">
        <f>IF(actuals!G185="revenue",-1,1)*IFERROR(actuals!H185,VALUE(SUBSTITUTE(SUBSTITUTE(SUBSTITUTE(actuals!H185,"(","-"),")",""),",","")))</f>
        <v/>
      </c>
      <c r="E185">
        <f>INDEX(map!$B$2:$B$12,MATCH(actuals!E185,map!$A$2:$A$12,0))</f>
        <v/>
      </c>
      <c r="F185">
        <f>IF(COUNTIF($A$2:$A185,actuals!A185)=1,1,0)</f>
        <v/>
      </c>
      <c r="G185">
        <f>INDEX(map!$C$2:$C$12,MATCH(actuals!E185,map!$A$2:$A$12,0))</f>
        <v/>
      </c>
    </row>
    <row r="186">
      <c r="A186">
        <f>actuals!A186</f>
        <v/>
      </c>
      <c r="B186">
        <f>actuals!B186</f>
        <v/>
      </c>
      <c r="C186">
        <f>actuals!E186</f>
        <v/>
      </c>
      <c r="D186">
        <f>IF(actuals!G186="revenue",-1,1)*IFERROR(actuals!H186,VALUE(SUBSTITUTE(SUBSTITUTE(SUBSTITUTE(actuals!H186,"(","-"),")",""),",","")))</f>
        <v/>
      </c>
      <c r="E186">
        <f>INDEX(map!$B$2:$B$12,MATCH(actuals!E186,map!$A$2:$A$12,0))</f>
        <v/>
      </c>
      <c r="F186">
        <f>IF(COUNTIF($A$2:$A186,actuals!A186)=1,1,0)</f>
        <v/>
      </c>
      <c r="G186">
        <f>INDEX(map!$C$2:$C$12,MATCH(actuals!E186,map!$A$2:$A$12,0))</f>
        <v/>
      </c>
    </row>
    <row r="187">
      <c r="A187">
        <f>actuals!A187</f>
        <v/>
      </c>
      <c r="B187">
        <f>actuals!B187</f>
        <v/>
      </c>
      <c r="C187">
        <f>actuals!E187</f>
        <v/>
      </c>
      <c r="D187">
        <f>IF(actuals!G187="revenue",-1,1)*IFERROR(actuals!H187,VALUE(SUBSTITUTE(SUBSTITUTE(SUBSTITUTE(actuals!H187,"(","-"),")",""),",","")))</f>
        <v/>
      </c>
      <c r="E187">
        <f>INDEX(map!$B$2:$B$12,MATCH(actuals!E187,map!$A$2:$A$12,0))</f>
        <v/>
      </c>
      <c r="F187">
        <f>IF(COUNTIF($A$2:$A187,actuals!A187)=1,1,0)</f>
        <v/>
      </c>
      <c r="G187">
        <f>INDEX(map!$C$2:$C$12,MATCH(actuals!E187,map!$A$2:$A$12,0))</f>
        <v/>
      </c>
    </row>
    <row r="188">
      <c r="A188">
        <f>actuals!A188</f>
        <v/>
      </c>
      <c r="B188">
        <f>actuals!B188</f>
        <v/>
      </c>
      <c r="C188">
        <f>actuals!E188</f>
        <v/>
      </c>
      <c r="D188">
        <f>IF(actuals!G188="revenue",-1,1)*IFERROR(actuals!H188,VALUE(SUBSTITUTE(SUBSTITUTE(SUBSTITUTE(actuals!H188,"(","-"),")",""),",","")))</f>
        <v/>
      </c>
      <c r="E188">
        <f>INDEX(map!$B$2:$B$12,MATCH(actuals!E188,map!$A$2:$A$12,0))</f>
        <v/>
      </c>
      <c r="F188">
        <f>IF(COUNTIF($A$2:$A188,actuals!A188)=1,1,0)</f>
        <v/>
      </c>
      <c r="G188">
        <f>INDEX(map!$C$2:$C$12,MATCH(actuals!E188,map!$A$2:$A$12,0))</f>
        <v/>
      </c>
    </row>
    <row r="189">
      <c r="A189">
        <f>actuals!A189</f>
        <v/>
      </c>
      <c r="B189">
        <f>actuals!B189</f>
        <v/>
      </c>
      <c r="C189">
        <f>actuals!E189</f>
        <v/>
      </c>
      <c r="D189">
        <f>IF(actuals!G189="revenue",-1,1)*IFERROR(actuals!H189,VALUE(SUBSTITUTE(SUBSTITUTE(SUBSTITUTE(actuals!H189,"(","-"),")",""),",","")))</f>
        <v/>
      </c>
      <c r="E189">
        <f>INDEX(map!$B$2:$B$12,MATCH(actuals!E189,map!$A$2:$A$12,0))</f>
        <v/>
      </c>
      <c r="F189">
        <f>IF(COUNTIF($A$2:$A189,actuals!A189)=1,1,0)</f>
        <v/>
      </c>
      <c r="G189">
        <f>INDEX(map!$C$2:$C$12,MATCH(actuals!E189,map!$A$2:$A$12,0))</f>
        <v/>
      </c>
    </row>
    <row r="190">
      <c r="A190">
        <f>actuals!A190</f>
        <v/>
      </c>
      <c r="B190">
        <f>actuals!B190</f>
        <v/>
      </c>
      <c r="C190">
        <f>actuals!E190</f>
        <v/>
      </c>
      <c r="D190">
        <f>IF(actuals!G190="revenue",-1,1)*IFERROR(actuals!H190,VALUE(SUBSTITUTE(SUBSTITUTE(SUBSTITUTE(actuals!H190,"(","-"),")",""),",","")))</f>
        <v/>
      </c>
      <c r="E190">
        <f>INDEX(map!$B$2:$B$12,MATCH(actuals!E190,map!$A$2:$A$12,0))</f>
        <v/>
      </c>
      <c r="F190">
        <f>IF(COUNTIF($A$2:$A190,actuals!A190)=1,1,0)</f>
        <v/>
      </c>
      <c r="G190">
        <f>INDEX(map!$C$2:$C$12,MATCH(actuals!E190,map!$A$2:$A$12,0))</f>
        <v/>
      </c>
    </row>
    <row r="191">
      <c r="A191">
        <f>actuals!A191</f>
        <v/>
      </c>
      <c r="B191">
        <f>actuals!B191</f>
        <v/>
      </c>
      <c r="C191">
        <f>actuals!E191</f>
        <v/>
      </c>
      <c r="D191">
        <f>IF(actuals!G191="revenue",-1,1)*IFERROR(actuals!H191,VALUE(SUBSTITUTE(SUBSTITUTE(SUBSTITUTE(actuals!H191,"(","-"),")",""),",","")))</f>
        <v/>
      </c>
      <c r="E191">
        <f>INDEX(map!$B$2:$B$12,MATCH(actuals!E191,map!$A$2:$A$12,0))</f>
        <v/>
      </c>
      <c r="F191">
        <f>IF(COUNTIF($A$2:$A191,actuals!A191)=1,1,0)</f>
        <v/>
      </c>
      <c r="G191">
        <f>INDEX(map!$C$2:$C$12,MATCH(actuals!E191,map!$A$2:$A$12,0))</f>
        <v/>
      </c>
    </row>
    <row r="192">
      <c r="A192">
        <f>actuals!A192</f>
        <v/>
      </c>
      <c r="B192">
        <f>actuals!B192</f>
        <v/>
      </c>
      <c r="C192">
        <f>actuals!E192</f>
        <v/>
      </c>
      <c r="D192">
        <f>IF(actuals!G192="revenue",-1,1)*IFERROR(actuals!H192,VALUE(SUBSTITUTE(SUBSTITUTE(SUBSTITUTE(actuals!H192,"(","-"),")",""),",","")))</f>
        <v/>
      </c>
      <c r="E192">
        <f>INDEX(map!$B$2:$B$12,MATCH(actuals!E192,map!$A$2:$A$12,0))</f>
        <v/>
      </c>
      <c r="F192">
        <f>IF(COUNTIF($A$2:$A192,actuals!A192)=1,1,0)</f>
        <v/>
      </c>
      <c r="G192">
        <f>INDEX(map!$C$2:$C$12,MATCH(actuals!E192,map!$A$2:$A$12,0))</f>
        <v/>
      </c>
    </row>
    <row r="193">
      <c r="A193">
        <f>actuals!A193</f>
        <v/>
      </c>
      <c r="B193">
        <f>actuals!B193</f>
        <v/>
      </c>
      <c r="C193">
        <f>actuals!E193</f>
        <v/>
      </c>
      <c r="D193">
        <f>IF(actuals!G193="revenue",-1,1)*IFERROR(actuals!H193,VALUE(SUBSTITUTE(SUBSTITUTE(SUBSTITUTE(actuals!H193,"(","-"),")",""),",","")))</f>
        <v/>
      </c>
      <c r="E193">
        <f>INDEX(map!$B$2:$B$12,MATCH(actuals!E193,map!$A$2:$A$12,0))</f>
        <v/>
      </c>
      <c r="F193">
        <f>IF(COUNTIF($A$2:$A193,actuals!A193)=1,1,0)</f>
        <v/>
      </c>
      <c r="G193">
        <f>INDEX(map!$C$2:$C$12,MATCH(actuals!E193,map!$A$2:$A$12,0))</f>
        <v/>
      </c>
    </row>
    <row r="194">
      <c r="A194">
        <f>actuals!A194</f>
        <v/>
      </c>
      <c r="B194">
        <f>actuals!B194</f>
        <v/>
      </c>
      <c r="C194">
        <f>actuals!E194</f>
        <v/>
      </c>
      <c r="D194">
        <f>IF(actuals!G194="revenue",-1,1)*IFERROR(actuals!H194,VALUE(SUBSTITUTE(SUBSTITUTE(SUBSTITUTE(actuals!H194,"(","-"),")",""),",","")))</f>
        <v/>
      </c>
      <c r="E194">
        <f>INDEX(map!$B$2:$B$12,MATCH(actuals!E194,map!$A$2:$A$12,0))</f>
        <v/>
      </c>
      <c r="F194">
        <f>IF(COUNTIF($A$2:$A194,actuals!A194)=1,1,0)</f>
        <v/>
      </c>
      <c r="G194">
        <f>INDEX(map!$C$2:$C$12,MATCH(actuals!E194,map!$A$2:$A$12,0))</f>
        <v/>
      </c>
    </row>
    <row r="195">
      <c r="A195">
        <f>actuals!A195</f>
        <v/>
      </c>
      <c r="B195">
        <f>actuals!B195</f>
        <v/>
      </c>
      <c r="C195">
        <f>actuals!E195</f>
        <v/>
      </c>
      <c r="D195">
        <f>IF(actuals!G195="revenue",-1,1)*IFERROR(actuals!H195,VALUE(SUBSTITUTE(SUBSTITUTE(SUBSTITUTE(actuals!H195,"(","-"),")",""),",","")))</f>
        <v/>
      </c>
      <c r="E195">
        <f>INDEX(map!$B$2:$B$12,MATCH(actuals!E195,map!$A$2:$A$12,0))</f>
        <v/>
      </c>
      <c r="F195">
        <f>IF(COUNTIF($A$2:$A195,actuals!A195)=1,1,0)</f>
        <v/>
      </c>
      <c r="G195">
        <f>INDEX(map!$C$2:$C$12,MATCH(actuals!E195,map!$A$2:$A$12,0))</f>
        <v/>
      </c>
    </row>
    <row r="196">
      <c r="A196">
        <f>actuals!A196</f>
        <v/>
      </c>
      <c r="B196">
        <f>actuals!B196</f>
        <v/>
      </c>
      <c r="C196">
        <f>actuals!E196</f>
        <v/>
      </c>
      <c r="D196">
        <f>IF(actuals!G196="revenue",-1,1)*IFERROR(actuals!H196,VALUE(SUBSTITUTE(SUBSTITUTE(SUBSTITUTE(actuals!H196,"(","-"),")",""),",","")))</f>
        <v/>
      </c>
      <c r="E196">
        <f>INDEX(map!$B$2:$B$12,MATCH(actuals!E196,map!$A$2:$A$12,0))</f>
        <v/>
      </c>
      <c r="F196">
        <f>IF(COUNTIF($A$2:$A196,actuals!A196)=1,1,0)</f>
        <v/>
      </c>
      <c r="G196">
        <f>INDEX(map!$C$2:$C$12,MATCH(actuals!E196,map!$A$2:$A$12,0))</f>
        <v/>
      </c>
    </row>
    <row r="197">
      <c r="A197">
        <f>actuals!A197</f>
        <v/>
      </c>
      <c r="B197">
        <f>actuals!B197</f>
        <v/>
      </c>
      <c r="C197">
        <f>actuals!E197</f>
        <v/>
      </c>
      <c r="D197">
        <f>IF(actuals!G197="revenue",-1,1)*IFERROR(actuals!H197,VALUE(SUBSTITUTE(SUBSTITUTE(SUBSTITUTE(actuals!H197,"(","-"),")",""),",","")))</f>
        <v/>
      </c>
      <c r="E197">
        <f>INDEX(map!$B$2:$B$12,MATCH(actuals!E197,map!$A$2:$A$12,0))</f>
        <v/>
      </c>
      <c r="F197">
        <f>IF(COUNTIF($A$2:$A197,actuals!A197)=1,1,0)</f>
        <v/>
      </c>
      <c r="G197">
        <f>INDEX(map!$C$2:$C$12,MATCH(actuals!E197,map!$A$2:$A$12,0))</f>
        <v/>
      </c>
    </row>
    <row r="198">
      <c r="A198">
        <f>actuals!A198</f>
        <v/>
      </c>
      <c r="B198">
        <f>actuals!B198</f>
        <v/>
      </c>
      <c r="C198">
        <f>actuals!E198</f>
        <v/>
      </c>
      <c r="D198">
        <f>IF(actuals!G198="revenue",-1,1)*IFERROR(actuals!H198,VALUE(SUBSTITUTE(SUBSTITUTE(SUBSTITUTE(actuals!H198,"(","-"),")",""),",","")))</f>
        <v/>
      </c>
      <c r="E198">
        <f>INDEX(map!$B$2:$B$12,MATCH(actuals!E198,map!$A$2:$A$12,0))</f>
        <v/>
      </c>
      <c r="F198">
        <f>IF(COUNTIF($A$2:$A198,actuals!A198)=1,1,0)</f>
        <v/>
      </c>
      <c r="G198">
        <f>INDEX(map!$C$2:$C$12,MATCH(actuals!E198,map!$A$2:$A$12,0))</f>
        <v/>
      </c>
    </row>
    <row r="199">
      <c r="A199">
        <f>actuals!A199</f>
        <v/>
      </c>
      <c r="B199">
        <f>actuals!B199</f>
        <v/>
      </c>
      <c r="C199">
        <f>actuals!E199</f>
        <v/>
      </c>
      <c r="D199">
        <f>IF(actuals!G199="revenue",-1,1)*IFERROR(actuals!H199,VALUE(SUBSTITUTE(SUBSTITUTE(SUBSTITUTE(actuals!H199,"(","-"),")",""),",","")))</f>
        <v/>
      </c>
      <c r="E199">
        <f>INDEX(map!$B$2:$B$12,MATCH(actuals!E199,map!$A$2:$A$12,0))</f>
        <v/>
      </c>
      <c r="F199">
        <f>IF(COUNTIF($A$2:$A199,actuals!A199)=1,1,0)</f>
        <v/>
      </c>
      <c r="G199">
        <f>INDEX(map!$C$2:$C$12,MATCH(actuals!E199,map!$A$2:$A$12,0))</f>
        <v/>
      </c>
    </row>
    <row r="200">
      <c r="A200">
        <f>actuals!A200</f>
        <v/>
      </c>
      <c r="B200">
        <f>actuals!B200</f>
        <v/>
      </c>
      <c r="C200">
        <f>actuals!E200</f>
        <v/>
      </c>
      <c r="D200">
        <f>IF(actuals!G200="revenue",-1,1)*IFERROR(actuals!H200,VALUE(SUBSTITUTE(SUBSTITUTE(SUBSTITUTE(actuals!H200,"(","-"),")",""),",","")))</f>
        <v/>
      </c>
      <c r="E200">
        <f>INDEX(map!$B$2:$B$12,MATCH(actuals!E200,map!$A$2:$A$12,0))</f>
        <v/>
      </c>
      <c r="F200">
        <f>IF(COUNTIF($A$2:$A200,actuals!A200)=1,1,0)</f>
        <v/>
      </c>
      <c r="G200">
        <f>INDEX(map!$C$2:$C$12,MATCH(actuals!E200,map!$A$2:$A$12,0))</f>
        <v/>
      </c>
    </row>
    <row r="201">
      <c r="A201">
        <f>actuals!A201</f>
        <v/>
      </c>
      <c r="B201">
        <f>actuals!B201</f>
        <v/>
      </c>
      <c r="C201">
        <f>actuals!E201</f>
        <v/>
      </c>
      <c r="D201">
        <f>IF(actuals!G201="revenue",-1,1)*IFERROR(actuals!H201,VALUE(SUBSTITUTE(SUBSTITUTE(SUBSTITUTE(actuals!H201,"(","-"),")",""),",","")))</f>
        <v/>
      </c>
      <c r="E201">
        <f>INDEX(map!$B$2:$B$12,MATCH(actuals!E201,map!$A$2:$A$12,0))</f>
        <v/>
      </c>
      <c r="F201">
        <f>IF(COUNTIF($A$2:$A201,actuals!A201)=1,1,0)</f>
        <v/>
      </c>
      <c r="G201">
        <f>INDEX(map!$C$2:$C$12,MATCH(actuals!E201,map!$A$2:$A$12,0))</f>
        <v/>
      </c>
    </row>
    <row r="202">
      <c r="A202">
        <f>actuals!A202</f>
        <v/>
      </c>
      <c r="B202">
        <f>actuals!B202</f>
        <v/>
      </c>
      <c r="C202">
        <f>actuals!E202</f>
        <v/>
      </c>
      <c r="D202">
        <f>IF(actuals!G202="revenue",-1,1)*IFERROR(actuals!H202,VALUE(SUBSTITUTE(SUBSTITUTE(SUBSTITUTE(actuals!H202,"(","-"),")",""),",","")))</f>
        <v/>
      </c>
      <c r="E202">
        <f>INDEX(map!$B$2:$B$12,MATCH(actuals!E202,map!$A$2:$A$12,0))</f>
        <v/>
      </c>
      <c r="F202">
        <f>IF(COUNTIF($A$2:$A202,actuals!A202)=1,1,0)</f>
        <v/>
      </c>
      <c r="G202">
        <f>INDEX(map!$C$2:$C$12,MATCH(actuals!E202,map!$A$2:$A$12,0))</f>
        <v/>
      </c>
    </row>
    <row r="203">
      <c r="A203">
        <f>actuals!A203</f>
        <v/>
      </c>
      <c r="B203">
        <f>actuals!B203</f>
        <v/>
      </c>
      <c r="C203">
        <f>actuals!E203</f>
        <v/>
      </c>
      <c r="D203">
        <f>IF(actuals!G203="revenue",-1,1)*IFERROR(actuals!H203,VALUE(SUBSTITUTE(SUBSTITUTE(SUBSTITUTE(actuals!H203,"(","-"),")",""),",","")))</f>
        <v/>
      </c>
      <c r="E203">
        <f>INDEX(map!$B$2:$B$12,MATCH(actuals!E203,map!$A$2:$A$12,0))</f>
        <v/>
      </c>
      <c r="F203">
        <f>IF(COUNTIF($A$2:$A203,actuals!A203)=1,1,0)</f>
        <v/>
      </c>
      <c r="G203">
        <f>INDEX(map!$C$2:$C$12,MATCH(actuals!E203,map!$A$2:$A$12,0))</f>
        <v/>
      </c>
    </row>
    <row r="204">
      <c r="A204">
        <f>actuals!A204</f>
        <v/>
      </c>
      <c r="B204">
        <f>actuals!B204</f>
        <v/>
      </c>
      <c r="C204">
        <f>actuals!E204</f>
        <v/>
      </c>
      <c r="D204">
        <f>IF(actuals!G204="revenue",-1,1)*IFERROR(actuals!H204,VALUE(SUBSTITUTE(SUBSTITUTE(SUBSTITUTE(actuals!H204,"(","-"),")",""),",","")))</f>
        <v/>
      </c>
      <c r="E204">
        <f>INDEX(map!$B$2:$B$12,MATCH(actuals!E204,map!$A$2:$A$12,0))</f>
        <v/>
      </c>
      <c r="F204">
        <f>IF(COUNTIF($A$2:$A204,actuals!A204)=1,1,0)</f>
        <v/>
      </c>
      <c r="G204">
        <f>INDEX(map!$C$2:$C$12,MATCH(actuals!E204,map!$A$2:$A$12,0))</f>
        <v/>
      </c>
    </row>
    <row r="205">
      <c r="A205">
        <f>actuals!A205</f>
        <v/>
      </c>
      <c r="B205">
        <f>actuals!B205</f>
        <v/>
      </c>
      <c r="C205">
        <f>actuals!E205</f>
        <v/>
      </c>
      <c r="D205">
        <f>IF(actuals!G205="revenue",-1,1)*IFERROR(actuals!H205,VALUE(SUBSTITUTE(SUBSTITUTE(SUBSTITUTE(actuals!H205,"(","-"),")",""),",","")))</f>
        <v/>
      </c>
      <c r="E205">
        <f>INDEX(map!$B$2:$B$12,MATCH(actuals!E205,map!$A$2:$A$12,0))</f>
        <v/>
      </c>
      <c r="F205">
        <f>IF(COUNTIF($A$2:$A205,actuals!A205)=1,1,0)</f>
        <v/>
      </c>
      <c r="G205">
        <f>INDEX(map!$C$2:$C$12,MATCH(actuals!E205,map!$A$2:$A$12,0))</f>
        <v/>
      </c>
    </row>
    <row r="206">
      <c r="A206">
        <f>actuals!A206</f>
        <v/>
      </c>
      <c r="B206">
        <f>actuals!B206</f>
        <v/>
      </c>
      <c r="C206">
        <f>actuals!E206</f>
        <v/>
      </c>
      <c r="D206">
        <f>IF(actuals!G206="revenue",-1,1)*IFERROR(actuals!H206,VALUE(SUBSTITUTE(SUBSTITUTE(SUBSTITUTE(actuals!H206,"(","-"),")",""),",","")))</f>
        <v/>
      </c>
      <c r="E206">
        <f>INDEX(map!$B$2:$B$12,MATCH(actuals!E206,map!$A$2:$A$12,0))</f>
        <v/>
      </c>
      <c r="F206">
        <f>IF(COUNTIF($A$2:$A206,actuals!A206)=1,1,0)</f>
        <v/>
      </c>
      <c r="G206">
        <f>INDEX(map!$C$2:$C$12,MATCH(actuals!E206,map!$A$2:$A$12,0))</f>
        <v/>
      </c>
    </row>
    <row r="207">
      <c r="A207">
        <f>actuals!A207</f>
        <v/>
      </c>
      <c r="B207">
        <f>actuals!B207</f>
        <v/>
      </c>
      <c r="C207">
        <f>actuals!E207</f>
        <v/>
      </c>
      <c r="D207">
        <f>IF(actuals!G207="revenue",-1,1)*IFERROR(actuals!H207,VALUE(SUBSTITUTE(SUBSTITUTE(SUBSTITUTE(actuals!H207,"(","-"),")",""),",","")))</f>
        <v/>
      </c>
      <c r="E207">
        <f>INDEX(map!$B$2:$B$12,MATCH(actuals!E207,map!$A$2:$A$12,0))</f>
        <v/>
      </c>
      <c r="F207">
        <f>IF(COUNTIF($A$2:$A207,actuals!A207)=1,1,0)</f>
        <v/>
      </c>
      <c r="G207">
        <f>INDEX(map!$C$2:$C$12,MATCH(actuals!E207,map!$A$2:$A$12,0))</f>
        <v/>
      </c>
    </row>
    <row r="208">
      <c r="A208">
        <f>actuals!A208</f>
        <v/>
      </c>
      <c r="B208">
        <f>actuals!B208</f>
        <v/>
      </c>
      <c r="C208">
        <f>actuals!E208</f>
        <v/>
      </c>
      <c r="D208">
        <f>IF(actuals!G208="revenue",-1,1)*IFERROR(actuals!H208,VALUE(SUBSTITUTE(SUBSTITUTE(SUBSTITUTE(actuals!H208,"(","-"),")",""),",","")))</f>
        <v/>
      </c>
      <c r="E208">
        <f>INDEX(map!$B$2:$B$12,MATCH(actuals!E208,map!$A$2:$A$12,0))</f>
        <v/>
      </c>
      <c r="F208">
        <f>IF(COUNTIF($A$2:$A208,actuals!A208)=1,1,0)</f>
        <v/>
      </c>
      <c r="G208">
        <f>INDEX(map!$C$2:$C$12,MATCH(actuals!E208,map!$A$2:$A$12,0))</f>
        <v/>
      </c>
    </row>
    <row r="209">
      <c r="A209">
        <f>actuals!A209</f>
        <v/>
      </c>
      <c r="B209">
        <f>actuals!B209</f>
        <v/>
      </c>
      <c r="C209">
        <f>actuals!E209</f>
        <v/>
      </c>
      <c r="D209">
        <f>IF(actuals!G209="revenue",-1,1)*IFERROR(actuals!H209,VALUE(SUBSTITUTE(SUBSTITUTE(SUBSTITUTE(actuals!H209,"(","-"),")",""),",","")))</f>
        <v/>
      </c>
      <c r="E209">
        <f>INDEX(map!$B$2:$B$12,MATCH(actuals!E209,map!$A$2:$A$12,0))</f>
        <v/>
      </c>
      <c r="F209">
        <f>IF(COUNTIF($A$2:$A209,actuals!A209)=1,1,0)</f>
        <v/>
      </c>
      <c r="G209">
        <f>INDEX(map!$C$2:$C$12,MATCH(actuals!E209,map!$A$2:$A$12,0))</f>
        <v/>
      </c>
    </row>
    <row r="210">
      <c r="A210">
        <f>actuals!A210</f>
        <v/>
      </c>
      <c r="B210">
        <f>actuals!B210</f>
        <v/>
      </c>
      <c r="C210">
        <f>actuals!E210</f>
        <v/>
      </c>
      <c r="D210">
        <f>IF(actuals!G210="revenue",-1,1)*IFERROR(actuals!H210,VALUE(SUBSTITUTE(SUBSTITUTE(SUBSTITUTE(actuals!H210,"(","-"),")",""),",","")))</f>
        <v/>
      </c>
      <c r="E210">
        <f>INDEX(map!$B$2:$B$12,MATCH(actuals!E210,map!$A$2:$A$12,0))</f>
        <v/>
      </c>
      <c r="F210">
        <f>IF(COUNTIF($A$2:$A210,actuals!A210)=1,1,0)</f>
        <v/>
      </c>
      <c r="G210">
        <f>INDEX(map!$C$2:$C$12,MATCH(actuals!E210,map!$A$2:$A$12,0))</f>
        <v/>
      </c>
    </row>
    <row r="211">
      <c r="A211">
        <f>actuals!A211</f>
        <v/>
      </c>
      <c r="B211">
        <f>actuals!B211</f>
        <v/>
      </c>
      <c r="C211">
        <f>actuals!E211</f>
        <v/>
      </c>
      <c r="D211">
        <f>IF(actuals!G211="revenue",-1,1)*IFERROR(actuals!H211,VALUE(SUBSTITUTE(SUBSTITUTE(SUBSTITUTE(actuals!H211,"(","-"),")",""),",","")))</f>
        <v/>
      </c>
      <c r="E211">
        <f>INDEX(map!$B$2:$B$12,MATCH(actuals!E211,map!$A$2:$A$12,0))</f>
        <v/>
      </c>
      <c r="F211">
        <f>IF(COUNTIF($A$2:$A211,actuals!A211)=1,1,0)</f>
        <v/>
      </c>
      <c r="G211">
        <f>INDEX(map!$C$2:$C$12,MATCH(actuals!E211,map!$A$2:$A$12,0))</f>
        <v/>
      </c>
    </row>
    <row r="212">
      <c r="A212">
        <f>actuals!A212</f>
        <v/>
      </c>
      <c r="B212">
        <f>actuals!B212</f>
        <v/>
      </c>
      <c r="C212">
        <f>actuals!E212</f>
        <v/>
      </c>
      <c r="D212">
        <f>IF(actuals!G212="revenue",-1,1)*IFERROR(actuals!H212,VALUE(SUBSTITUTE(SUBSTITUTE(SUBSTITUTE(actuals!H212,"(","-"),")",""),",","")))</f>
        <v/>
      </c>
      <c r="E212">
        <f>INDEX(map!$B$2:$B$12,MATCH(actuals!E212,map!$A$2:$A$12,0))</f>
        <v/>
      </c>
      <c r="F212">
        <f>IF(COUNTIF($A$2:$A212,actuals!A212)=1,1,0)</f>
        <v/>
      </c>
      <c r="G212">
        <f>INDEX(map!$C$2:$C$12,MATCH(actuals!E212,map!$A$2:$A$12,0))</f>
        <v/>
      </c>
    </row>
    <row r="213">
      <c r="A213">
        <f>actuals!A213</f>
        <v/>
      </c>
      <c r="B213">
        <f>actuals!B213</f>
        <v/>
      </c>
      <c r="C213">
        <f>actuals!E213</f>
        <v/>
      </c>
      <c r="D213">
        <f>IF(actuals!G213="revenue",-1,1)*IFERROR(actuals!H213,VALUE(SUBSTITUTE(SUBSTITUTE(SUBSTITUTE(actuals!H213,"(","-"),")",""),",","")))</f>
        <v/>
      </c>
      <c r="E213">
        <f>INDEX(map!$B$2:$B$12,MATCH(actuals!E213,map!$A$2:$A$12,0))</f>
        <v/>
      </c>
      <c r="F213">
        <f>IF(COUNTIF($A$2:$A213,actuals!A213)=1,1,0)</f>
        <v/>
      </c>
      <c r="G213">
        <f>INDEX(map!$C$2:$C$12,MATCH(actuals!E213,map!$A$2:$A$12,0))</f>
        <v/>
      </c>
    </row>
    <row r="214">
      <c r="A214">
        <f>actuals!A214</f>
        <v/>
      </c>
      <c r="B214">
        <f>actuals!B214</f>
        <v/>
      </c>
      <c r="C214">
        <f>actuals!E214</f>
        <v/>
      </c>
      <c r="D214">
        <f>IF(actuals!G214="revenue",-1,1)*IFERROR(actuals!H214,VALUE(SUBSTITUTE(SUBSTITUTE(SUBSTITUTE(actuals!H214,"(","-"),")",""),",","")))</f>
        <v/>
      </c>
      <c r="E214">
        <f>INDEX(map!$B$2:$B$12,MATCH(actuals!E214,map!$A$2:$A$12,0))</f>
        <v/>
      </c>
      <c r="F214">
        <f>IF(COUNTIF($A$2:$A214,actuals!A214)=1,1,0)</f>
        <v/>
      </c>
      <c r="G214">
        <f>INDEX(map!$C$2:$C$12,MATCH(actuals!E214,map!$A$2:$A$12,0))</f>
        <v/>
      </c>
    </row>
    <row r="215">
      <c r="A215">
        <f>actuals!A215</f>
        <v/>
      </c>
      <c r="B215">
        <f>actuals!B215</f>
        <v/>
      </c>
      <c r="C215">
        <f>actuals!E215</f>
        <v/>
      </c>
      <c r="D215">
        <f>IF(actuals!G215="revenue",-1,1)*IFERROR(actuals!H215,VALUE(SUBSTITUTE(SUBSTITUTE(SUBSTITUTE(actuals!H215,"(","-"),")",""),",","")))</f>
        <v/>
      </c>
      <c r="E215">
        <f>INDEX(map!$B$2:$B$12,MATCH(actuals!E215,map!$A$2:$A$12,0))</f>
        <v/>
      </c>
      <c r="F215">
        <f>IF(COUNTIF($A$2:$A215,actuals!A215)=1,1,0)</f>
        <v/>
      </c>
      <c r="G215">
        <f>INDEX(map!$C$2:$C$12,MATCH(actuals!E215,map!$A$2:$A$12,0))</f>
        <v/>
      </c>
    </row>
    <row r="216">
      <c r="A216">
        <f>actuals!A216</f>
        <v/>
      </c>
      <c r="B216">
        <f>actuals!B216</f>
        <v/>
      </c>
      <c r="C216">
        <f>actuals!E216</f>
        <v/>
      </c>
      <c r="D216">
        <f>IF(actuals!G216="revenue",-1,1)*IFERROR(actuals!H216,VALUE(SUBSTITUTE(SUBSTITUTE(SUBSTITUTE(actuals!H216,"(","-"),")",""),",","")))</f>
        <v/>
      </c>
      <c r="E216">
        <f>INDEX(map!$B$2:$B$12,MATCH(actuals!E216,map!$A$2:$A$12,0))</f>
        <v/>
      </c>
      <c r="F216">
        <f>IF(COUNTIF($A$2:$A216,actuals!A216)=1,1,0)</f>
        <v/>
      </c>
      <c r="G216">
        <f>INDEX(map!$C$2:$C$12,MATCH(actuals!E216,map!$A$2:$A$12,0))</f>
        <v/>
      </c>
    </row>
    <row r="217">
      <c r="A217">
        <f>actuals!A217</f>
        <v/>
      </c>
      <c r="B217">
        <f>actuals!B217</f>
        <v/>
      </c>
      <c r="C217">
        <f>actuals!E217</f>
        <v/>
      </c>
      <c r="D217">
        <f>IF(actuals!G217="revenue",-1,1)*IFERROR(actuals!H217,VALUE(SUBSTITUTE(SUBSTITUTE(SUBSTITUTE(actuals!H217,"(","-"),")",""),",","")))</f>
        <v/>
      </c>
      <c r="E217">
        <f>INDEX(map!$B$2:$B$12,MATCH(actuals!E217,map!$A$2:$A$12,0))</f>
        <v/>
      </c>
      <c r="F217">
        <f>IF(COUNTIF($A$2:$A217,actuals!A217)=1,1,0)</f>
        <v/>
      </c>
      <c r="G217">
        <f>INDEX(map!$C$2:$C$12,MATCH(actuals!E217,map!$A$2:$A$12,0))</f>
        <v/>
      </c>
    </row>
    <row r="218">
      <c r="A218">
        <f>actuals!A218</f>
        <v/>
      </c>
      <c r="B218">
        <f>actuals!B218</f>
        <v/>
      </c>
      <c r="C218">
        <f>actuals!E218</f>
        <v/>
      </c>
      <c r="D218">
        <f>IF(actuals!G218="revenue",-1,1)*IFERROR(actuals!H218,VALUE(SUBSTITUTE(SUBSTITUTE(SUBSTITUTE(actuals!H218,"(","-"),")",""),",","")))</f>
        <v/>
      </c>
      <c r="E218">
        <f>INDEX(map!$B$2:$B$12,MATCH(actuals!E218,map!$A$2:$A$12,0))</f>
        <v/>
      </c>
      <c r="F218">
        <f>IF(COUNTIF($A$2:$A218,actuals!A218)=1,1,0)</f>
        <v/>
      </c>
      <c r="G218">
        <f>INDEX(map!$C$2:$C$12,MATCH(actuals!E218,map!$A$2:$A$12,0))</f>
        <v/>
      </c>
    </row>
    <row r="219">
      <c r="A219">
        <f>actuals!A219</f>
        <v/>
      </c>
      <c r="B219">
        <f>actuals!B219</f>
        <v/>
      </c>
      <c r="C219">
        <f>actuals!E219</f>
        <v/>
      </c>
      <c r="D219">
        <f>IF(actuals!G219="revenue",-1,1)*IFERROR(actuals!H219,VALUE(SUBSTITUTE(SUBSTITUTE(SUBSTITUTE(actuals!H219,"(","-"),")",""),",","")))</f>
        <v/>
      </c>
      <c r="E219">
        <f>INDEX(map!$B$2:$B$12,MATCH(actuals!E219,map!$A$2:$A$12,0))</f>
        <v/>
      </c>
      <c r="F219">
        <f>IF(COUNTIF($A$2:$A219,actuals!A219)=1,1,0)</f>
        <v/>
      </c>
      <c r="G219">
        <f>INDEX(map!$C$2:$C$12,MATCH(actuals!E219,map!$A$2:$A$12,0))</f>
        <v/>
      </c>
    </row>
    <row r="220">
      <c r="A220">
        <f>actuals!A220</f>
        <v/>
      </c>
      <c r="B220">
        <f>actuals!B220</f>
        <v/>
      </c>
      <c r="C220">
        <f>actuals!E220</f>
        <v/>
      </c>
      <c r="D220">
        <f>IF(actuals!G220="revenue",-1,1)*IFERROR(actuals!H220,VALUE(SUBSTITUTE(SUBSTITUTE(SUBSTITUTE(actuals!H220,"(","-"),")",""),",","")))</f>
        <v/>
      </c>
      <c r="E220">
        <f>INDEX(map!$B$2:$B$12,MATCH(actuals!E220,map!$A$2:$A$12,0))</f>
        <v/>
      </c>
      <c r="F220">
        <f>IF(COUNTIF($A$2:$A220,actuals!A220)=1,1,0)</f>
        <v/>
      </c>
      <c r="G220">
        <f>INDEX(map!$C$2:$C$12,MATCH(actuals!E220,map!$A$2:$A$12,0))</f>
        <v/>
      </c>
    </row>
    <row r="221">
      <c r="A221">
        <f>actuals!A221</f>
        <v/>
      </c>
      <c r="B221">
        <f>actuals!B221</f>
        <v/>
      </c>
      <c r="C221">
        <f>actuals!E221</f>
        <v/>
      </c>
      <c r="D221">
        <f>IF(actuals!G221="revenue",-1,1)*IFERROR(actuals!H221,VALUE(SUBSTITUTE(SUBSTITUTE(SUBSTITUTE(actuals!H221,"(","-"),")",""),",","")))</f>
        <v/>
      </c>
      <c r="E221">
        <f>INDEX(map!$B$2:$B$12,MATCH(actuals!E221,map!$A$2:$A$12,0))</f>
        <v/>
      </c>
      <c r="F221">
        <f>IF(COUNTIF($A$2:$A221,actuals!A221)=1,1,0)</f>
        <v/>
      </c>
      <c r="G221">
        <f>INDEX(map!$C$2:$C$12,MATCH(actuals!E221,map!$A$2:$A$12,0))</f>
        <v/>
      </c>
    </row>
    <row r="222">
      <c r="A222">
        <f>actuals!A222</f>
        <v/>
      </c>
      <c r="B222">
        <f>actuals!B222</f>
        <v/>
      </c>
      <c r="C222">
        <f>actuals!E222</f>
        <v/>
      </c>
      <c r="D222">
        <f>IF(actuals!G222="revenue",-1,1)*IFERROR(actuals!H222,VALUE(SUBSTITUTE(SUBSTITUTE(SUBSTITUTE(actuals!H222,"(","-"),")",""),",","")))</f>
        <v/>
      </c>
      <c r="E222">
        <f>INDEX(map!$B$2:$B$12,MATCH(actuals!E222,map!$A$2:$A$12,0))</f>
        <v/>
      </c>
      <c r="F222">
        <f>IF(COUNTIF($A$2:$A222,actuals!A222)=1,1,0)</f>
        <v/>
      </c>
      <c r="G222">
        <f>INDEX(map!$C$2:$C$12,MATCH(actuals!E222,map!$A$2:$A$12,0))</f>
        <v/>
      </c>
    </row>
    <row r="223">
      <c r="A223">
        <f>actuals!A223</f>
        <v/>
      </c>
      <c r="B223">
        <f>actuals!B223</f>
        <v/>
      </c>
      <c r="C223">
        <f>actuals!E223</f>
        <v/>
      </c>
      <c r="D223">
        <f>IF(actuals!G223="revenue",-1,1)*IFERROR(actuals!H223,VALUE(SUBSTITUTE(SUBSTITUTE(SUBSTITUTE(actuals!H223,"(","-"),")",""),",","")))</f>
        <v/>
      </c>
      <c r="E223">
        <f>INDEX(map!$B$2:$B$12,MATCH(actuals!E223,map!$A$2:$A$12,0))</f>
        <v/>
      </c>
      <c r="F223">
        <f>IF(COUNTIF($A$2:$A223,actuals!A223)=1,1,0)</f>
        <v/>
      </c>
      <c r="G223">
        <f>INDEX(map!$C$2:$C$12,MATCH(actuals!E223,map!$A$2:$A$12,0))</f>
        <v/>
      </c>
    </row>
    <row r="224">
      <c r="A224">
        <f>actuals!A224</f>
        <v/>
      </c>
      <c r="B224">
        <f>actuals!B224</f>
        <v/>
      </c>
      <c r="C224">
        <f>actuals!E224</f>
        <v/>
      </c>
      <c r="D224">
        <f>IF(actuals!G224="revenue",-1,1)*IFERROR(actuals!H224,VALUE(SUBSTITUTE(SUBSTITUTE(SUBSTITUTE(actuals!H224,"(","-"),")",""),",","")))</f>
        <v/>
      </c>
      <c r="E224">
        <f>INDEX(map!$B$2:$B$12,MATCH(actuals!E224,map!$A$2:$A$12,0))</f>
        <v/>
      </c>
      <c r="F224">
        <f>IF(COUNTIF($A$2:$A224,actuals!A224)=1,1,0)</f>
        <v/>
      </c>
      <c r="G224">
        <f>INDEX(map!$C$2:$C$12,MATCH(actuals!E224,map!$A$2:$A$12,0))</f>
        <v/>
      </c>
    </row>
    <row r="225">
      <c r="A225">
        <f>actuals!A225</f>
        <v/>
      </c>
      <c r="B225">
        <f>actuals!B225</f>
        <v/>
      </c>
      <c r="C225">
        <f>actuals!E225</f>
        <v/>
      </c>
      <c r="D225">
        <f>IF(actuals!G225="revenue",-1,1)*IFERROR(actuals!H225,VALUE(SUBSTITUTE(SUBSTITUTE(SUBSTITUTE(actuals!H225,"(","-"),")",""),",","")))</f>
        <v/>
      </c>
      <c r="E225">
        <f>INDEX(map!$B$2:$B$12,MATCH(actuals!E225,map!$A$2:$A$12,0))</f>
        <v/>
      </c>
      <c r="F225">
        <f>IF(COUNTIF($A$2:$A225,actuals!A225)=1,1,0)</f>
        <v/>
      </c>
      <c r="G225">
        <f>INDEX(map!$C$2:$C$12,MATCH(actuals!E225,map!$A$2:$A$12,0))</f>
        <v/>
      </c>
    </row>
    <row r="226">
      <c r="A226">
        <f>actuals!A226</f>
        <v/>
      </c>
      <c r="B226">
        <f>actuals!B226</f>
        <v/>
      </c>
      <c r="C226">
        <f>actuals!E226</f>
        <v/>
      </c>
      <c r="D226">
        <f>IF(actuals!G226="revenue",-1,1)*IFERROR(actuals!H226,VALUE(SUBSTITUTE(SUBSTITUTE(SUBSTITUTE(actuals!H226,"(","-"),")",""),",","")))</f>
        <v/>
      </c>
      <c r="E226">
        <f>INDEX(map!$B$2:$B$12,MATCH(actuals!E226,map!$A$2:$A$12,0))</f>
        <v/>
      </c>
      <c r="F226">
        <f>IF(COUNTIF($A$2:$A226,actuals!A226)=1,1,0)</f>
        <v/>
      </c>
      <c r="G226">
        <f>INDEX(map!$C$2:$C$12,MATCH(actuals!E226,map!$A$2:$A$12,0))</f>
        <v/>
      </c>
    </row>
    <row r="227">
      <c r="A227">
        <f>actuals!A227</f>
        <v/>
      </c>
      <c r="B227">
        <f>actuals!B227</f>
        <v/>
      </c>
      <c r="C227">
        <f>actuals!E227</f>
        <v/>
      </c>
      <c r="D227">
        <f>IF(actuals!G227="revenue",-1,1)*IFERROR(actuals!H227,VALUE(SUBSTITUTE(SUBSTITUTE(SUBSTITUTE(actuals!H227,"(","-"),")",""),",","")))</f>
        <v/>
      </c>
      <c r="E227">
        <f>INDEX(map!$B$2:$B$12,MATCH(actuals!E227,map!$A$2:$A$12,0))</f>
        <v/>
      </c>
      <c r="F227">
        <f>IF(COUNTIF($A$2:$A227,actuals!A227)=1,1,0)</f>
        <v/>
      </c>
      <c r="G227">
        <f>INDEX(map!$C$2:$C$12,MATCH(actuals!E227,map!$A$2:$A$12,0))</f>
        <v/>
      </c>
    </row>
    <row r="228">
      <c r="A228">
        <f>actuals!A228</f>
        <v/>
      </c>
      <c r="B228">
        <f>actuals!B228</f>
        <v/>
      </c>
      <c r="C228">
        <f>actuals!E228</f>
        <v/>
      </c>
      <c r="D228">
        <f>IF(actuals!G228="revenue",-1,1)*IFERROR(actuals!H228,VALUE(SUBSTITUTE(SUBSTITUTE(SUBSTITUTE(actuals!H228,"(","-"),")",""),",","")))</f>
        <v/>
      </c>
      <c r="E228">
        <f>INDEX(map!$B$2:$B$12,MATCH(actuals!E228,map!$A$2:$A$12,0))</f>
        <v/>
      </c>
      <c r="F228">
        <f>IF(COUNTIF($A$2:$A228,actuals!A228)=1,1,0)</f>
        <v/>
      </c>
      <c r="G228">
        <f>INDEX(map!$C$2:$C$12,MATCH(actuals!E228,map!$A$2:$A$12,0))</f>
        <v/>
      </c>
    </row>
    <row r="229">
      <c r="A229">
        <f>actuals!A229</f>
        <v/>
      </c>
      <c r="B229">
        <f>actuals!B229</f>
        <v/>
      </c>
      <c r="C229">
        <f>actuals!E229</f>
        <v/>
      </c>
      <c r="D229">
        <f>IF(actuals!G229="revenue",-1,1)*IFERROR(actuals!H229,VALUE(SUBSTITUTE(SUBSTITUTE(SUBSTITUTE(actuals!H229,"(","-"),")",""),",","")))</f>
        <v/>
      </c>
      <c r="E229">
        <f>INDEX(map!$B$2:$B$12,MATCH(actuals!E229,map!$A$2:$A$12,0))</f>
        <v/>
      </c>
      <c r="F229">
        <f>IF(COUNTIF($A$2:$A229,actuals!A229)=1,1,0)</f>
        <v/>
      </c>
      <c r="G229">
        <f>INDEX(map!$C$2:$C$12,MATCH(actuals!E229,map!$A$2:$A$12,0))</f>
        <v/>
      </c>
    </row>
    <row r="230">
      <c r="A230">
        <f>actuals!A230</f>
        <v/>
      </c>
      <c r="B230">
        <f>actuals!B230</f>
        <v/>
      </c>
      <c r="C230">
        <f>actuals!E230</f>
        <v/>
      </c>
      <c r="D230">
        <f>IF(actuals!G230="revenue",-1,1)*IFERROR(actuals!H230,VALUE(SUBSTITUTE(SUBSTITUTE(SUBSTITUTE(actuals!H230,"(","-"),")",""),",","")))</f>
        <v/>
      </c>
      <c r="E230">
        <f>INDEX(map!$B$2:$B$12,MATCH(actuals!E230,map!$A$2:$A$12,0))</f>
        <v/>
      </c>
      <c r="F230">
        <f>IF(COUNTIF($A$2:$A230,actuals!A230)=1,1,0)</f>
        <v/>
      </c>
      <c r="G230">
        <f>INDEX(map!$C$2:$C$12,MATCH(actuals!E230,map!$A$2:$A$12,0))</f>
        <v/>
      </c>
    </row>
    <row r="231">
      <c r="A231">
        <f>actuals!A231</f>
        <v/>
      </c>
      <c r="B231">
        <f>actuals!B231</f>
        <v/>
      </c>
      <c r="C231">
        <f>actuals!E231</f>
        <v/>
      </c>
      <c r="D231">
        <f>IF(actuals!G231="revenue",-1,1)*IFERROR(actuals!H231,VALUE(SUBSTITUTE(SUBSTITUTE(SUBSTITUTE(actuals!H231,"(","-"),")",""),",","")))</f>
        <v/>
      </c>
      <c r="E231">
        <f>INDEX(map!$B$2:$B$12,MATCH(actuals!E231,map!$A$2:$A$12,0))</f>
        <v/>
      </c>
      <c r="F231">
        <f>IF(COUNTIF($A$2:$A231,actuals!A231)=1,1,0)</f>
        <v/>
      </c>
      <c r="G231">
        <f>INDEX(map!$C$2:$C$12,MATCH(actuals!E231,map!$A$2:$A$12,0))</f>
        <v/>
      </c>
    </row>
    <row r="232">
      <c r="A232">
        <f>actuals!A232</f>
        <v/>
      </c>
      <c r="B232">
        <f>actuals!B232</f>
        <v/>
      </c>
      <c r="C232">
        <f>actuals!E232</f>
        <v/>
      </c>
      <c r="D232">
        <f>IF(actuals!G232="revenue",-1,1)*IFERROR(actuals!H232,VALUE(SUBSTITUTE(SUBSTITUTE(SUBSTITUTE(actuals!H232,"(","-"),")",""),",","")))</f>
        <v/>
      </c>
      <c r="E232">
        <f>INDEX(map!$B$2:$B$12,MATCH(actuals!E232,map!$A$2:$A$12,0))</f>
        <v/>
      </c>
      <c r="F232">
        <f>IF(COUNTIF($A$2:$A232,actuals!A232)=1,1,0)</f>
        <v/>
      </c>
      <c r="G232">
        <f>INDEX(map!$C$2:$C$12,MATCH(actuals!E232,map!$A$2:$A$12,0))</f>
        <v/>
      </c>
    </row>
    <row r="233">
      <c r="A233">
        <f>actuals!A233</f>
        <v/>
      </c>
      <c r="B233">
        <f>actuals!B233</f>
        <v/>
      </c>
      <c r="C233">
        <f>actuals!E233</f>
        <v/>
      </c>
      <c r="D233">
        <f>IF(actuals!G233="revenue",-1,1)*IFERROR(actuals!H233,VALUE(SUBSTITUTE(SUBSTITUTE(SUBSTITUTE(actuals!H233,"(","-"),")",""),",","")))</f>
        <v/>
      </c>
      <c r="E233">
        <f>INDEX(map!$B$2:$B$12,MATCH(actuals!E233,map!$A$2:$A$12,0))</f>
        <v/>
      </c>
      <c r="F233">
        <f>IF(COUNTIF($A$2:$A233,actuals!A233)=1,1,0)</f>
        <v/>
      </c>
      <c r="G233">
        <f>INDEX(map!$C$2:$C$12,MATCH(actuals!E233,map!$A$2:$A$12,0))</f>
        <v/>
      </c>
    </row>
    <row r="234">
      <c r="A234">
        <f>actuals!A234</f>
        <v/>
      </c>
      <c r="B234">
        <f>actuals!B234</f>
        <v/>
      </c>
      <c r="C234">
        <f>actuals!E234</f>
        <v/>
      </c>
      <c r="D234">
        <f>IF(actuals!G234="revenue",-1,1)*IFERROR(actuals!H234,VALUE(SUBSTITUTE(SUBSTITUTE(SUBSTITUTE(actuals!H234,"(","-"),")",""),",","")))</f>
        <v/>
      </c>
      <c r="E234">
        <f>INDEX(map!$B$2:$B$12,MATCH(actuals!E234,map!$A$2:$A$12,0))</f>
        <v/>
      </c>
      <c r="F234">
        <f>IF(COUNTIF($A$2:$A234,actuals!A234)=1,1,0)</f>
        <v/>
      </c>
      <c r="G234">
        <f>INDEX(map!$C$2:$C$12,MATCH(actuals!E234,map!$A$2:$A$12,0))</f>
        <v/>
      </c>
    </row>
    <row r="235">
      <c r="A235">
        <f>actuals!A235</f>
        <v/>
      </c>
      <c r="B235">
        <f>actuals!B235</f>
        <v/>
      </c>
      <c r="C235">
        <f>actuals!E235</f>
        <v/>
      </c>
      <c r="D235">
        <f>IF(actuals!G235="revenue",-1,1)*IFERROR(actuals!H235,VALUE(SUBSTITUTE(SUBSTITUTE(SUBSTITUTE(actuals!H235,"(","-"),")",""),",","")))</f>
        <v/>
      </c>
      <c r="E235">
        <f>INDEX(map!$B$2:$B$12,MATCH(actuals!E235,map!$A$2:$A$12,0))</f>
        <v/>
      </c>
      <c r="F235">
        <f>IF(COUNTIF($A$2:$A235,actuals!A235)=1,1,0)</f>
        <v/>
      </c>
      <c r="G235">
        <f>INDEX(map!$C$2:$C$12,MATCH(actuals!E235,map!$A$2:$A$12,0))</f>
        <v/>
      </c>
    </row>
    <row r="236">
      <c r="A236">
        <f>actuals!A236</f>
        <v/>
      </c>
      <c r="B236">
        <f>actuals!B236</f>
        <v/>
      </c>
      <c r="C236">
        <f>actuals!E236</f>
        <v/>
      </c>
      <c r="D236">
        <f>IF(actuals!G236="revenue",-1,1)*IFERROR(actuals!H236,VALUE(SUBSTITUTE(SUBSTITUTE(SUBSTITUTE(actuals!H236,"(","-"),")",""),",","")))</f>
        <v/>
      </c>
      <c r="E236">
        <f>INDEX(map!$B$2:$B$12,MATCH(actuals!E236,map!$A$2:$A$12,0))</f>
        <v/>
      </c>
      <c r="F236">
        <f>IF(COUNTIF($A$2:$A236,actuals!A236)=1,1,0)</f>
        <v/>
      </c>
      <c r="G236">
        <f>INDEX(map!$C$2:$C$12,MATCH(actuals!E236,map!$A$2:$A$12,0))</f>
        <v/>
      </c>
    </row>
    <row r="237">
      <c r="A237">
        <f>actuals!A237</f>
        <v/>
      </c>
      <c r="B237">
        <f>actuals!B237</f>
        <v/>
      </c>
      <c r="C237">
        <f>actuals!E237</f>
        <v/>
      </c>
      <c r="D237">
        <f>IF(actuals!G237="revenue",-1,1)*IFERROR(actuals!H237,VALUE(SUBSTITUTE(SUBSTITUTE(SUBSTITUTE(actuals!H237,"(","-"),")",""),",","")))</f>
        <v/>
      </c>
      <c r="E237">
        <f>INDEX(map!$B$2:$B$12,MATCH(actuals!E237,map!$A$2:$A$12,0))</f>
        <v/>
      </c>
      <c r="F237">
        <f>IF(COUNTIF($A$2:$A237,actuals!A237)=1,1,0)</f>
        <v/>
      </c>
      <c r="G237">
        <f>INDEX(map!$C$2:$C$12,MATCH(actuals!E237,map!$A$2:$A$12,0))</f>
        <v/>
      </c>
    </row>
    <row r="238">
      <c r="A238">
        <f>actuals!A238</f>
        <v/>
      </c>
      <c r="B238">
        <f>actuals!B238</f>
        <v/>
      </c>
      <c r="C238">
        <f>actuals!E238</f>
        <v/>
      </c>
      <c r="D238">
        <f>IF(actuals!G238="revenue",-1,1)*IFERROR(actuals!H238,VALUE(SUBSTITUTE(SUBSTITUTE(SUBSTITUTE(actuals!H238,"(","-"),")",""),",","")))</f>
        <v/>
      </c>
      <c r="E238">
        <f>INDEX(map!$B$2:$B$12,MATCH(actuals!E238,map!$A$2:$A$12,0))</f>
        <v/>
      </c>
      <c r="F238">
        <f>IF(COUNTIF($A$2:$A238,actuals!A238)=1,1,0)</f>
        <v/>
      </c>
      <c r="G238">
        <f>INDEX(map!$C$2:$C$12,MATCH(actuals!E238,map!$A$2:$A$12,0))</f>
        <v/>
      </c>
    </row>
    <row r="239">
      <c r="A239">
        <f>actuals!A239</f>
        <v/>
      </c>
      <c r="B239">
        <f>actuals!B239</f>
        <v/>
      </c>
      <c r="C239">
        <f>actuals!E239</f>
        <v/>
      </c>
      <c r="D239">
        <f>IF(actuals!G239="revenue",-1,1)*IFERROR(actuals!H239,VALUE(SUBSTITUTE(SUBSTITUTE(SUBSTITUTE(actuals!H239,"(","-"),")",""),",","")))</f>
        <v/>
      </c>
      <c r="E239">
        <f>INDEX(map!$B$2:$B$12,MATCH(actuals!E239,map!$A$2:$A$12,0))</f>
        <v/>
      </c>
      <c r="F239">
        <f>IF(COUNTIF($A$2:$A239,actuals!A239)=1,1,0)</f>
        <v/>
      </c>
      <c r="G239">
        <f>INDEX(map!$C$2:$C$12,MATCH(actuals!E239,map!$A$2:$A$12,0))</f>
        <v/>
      </c>
    </row>
    <row r="240">
      <c r="A240">
        <f>actuals!A240</f>
        <v/>
      </c>
      <c r="B240">
        <f>actuals!B240</f>
        <v/>
      </c>
      <c r="C240">
        <f>actuals!E240</f>
        <v/>
      </c>
      <c r="D240">
        <f>IF(actuals!G240="revenue",-1,1)*IFERROR(actuals!H240,VALUE(SUBSTITUTE(SUBSTITUTE(SUBSTITUTE(actuals!H240,"(","-"),")",""),",","")))</f>
        <v/>
      </c>
      <c r="E240">
        <f>INDEX(map!$B$2:$B$12,MATCH(actuals!E240,map!$A$2:$A$12,0))</f>
        <v/>
      </c>
      <c r="F240">
        <f>IF(COUNTIF($A$2:$A240,actuals!A240)=1,1,0)</f>
        <v/>
      </c>
      <c r="G240">
        <f>INDEX(map!$C$2:$C$12,MATCH(actuals!E240,map!$A$2:$A$12,0))</f>
        <v/>
      </c>
    </row>
    <row r="241">
      <c r="A241">
        <f>actuals!A241</f>
        <v/>
      </c>
      <c r="B241">
        <f>actuals!B241</f>
        <v/>
      </c>
      <c r="C241">
        <f>actuals!E241</f>
        <v/>
      </c>
      <c r="D241">
        <f>IF(actuals!G241="revenue",-1,1)*IFERROR(actuals!H241,VALUE(SUBSTITUTE(SUBSTITUTE(SUBSTITUTE(actuals!H241,"(","-"),")",""),",","")))</f>
        <v/>
      </c>
      <c r="E241">
        <f>INDEX(map!$B$2:$B$12,MATCH(actuals!E241,map!$A$2:$A$12,0))</f>
        <v/>
      </c>
      <c r="F241">
        <f>IF(COUNTIF($A$2:$A241,actuals!A241)=1,1,0)</f>
        <v/>
      </c>
      <c r="G241">
        <f>INDEX(map!$C$2:$C$12,MATCH(actuals!E241,map!$A$2:$A$12,0))</f>
        <v/>
      </c>
    </row>
    <row r="242">
      <c r="A242">
        <f>actuals!A242</f>
        <v/>
      </c>
      <c r="B242">
        <f>actuals!B242</f>
        <v/>
      </c>
      <c r="C242">
        <f>actuals!E242</f>
        <v/>
      </c>
      <c r="D242">
        <f>IF(actuals!G242="revenue",-1,1)*IFERROR(actuals!H242,VALUE(SUBSTITUTE(SUBSTITUTE(SUBSTITUTE(actuals!H242,"(","-"),")",""),",","")))</f>
        <v/>
      </c>
      <c r="E242">
        <f>INDEX(map!$B$2:$B$12,MATCH(actuals!E242,map!$A$2:$A$12,0))</f>
        <v/>
      </c>
      <c r="F242">
        <f>IF(COUNTIF($A$2:$A242,actuals!A242)=1,1,0)</f>
        <v/>
      </c>
      <c r="G242">
        <f>INDEX(map!$C$2:$C$12,MATCH(actuals!E242,map!$A$2:$A$12,0))</f>
        <v/>
      </c>
    </row>
    <row r="243">
      <c r="A243">
        <f>actuals!A243</f>
        <v/>
      </c>
      <c r="B243">
        <f>actuals!B243</f>
        <v/>
      </c>
      <c r="C243">
        <f>actuals!E243</f>
        <v/>
      </c>
      <c r="D243">
        <f>IF(actuals!G243="revenue",-1,1)*IFERROR(actuals!H243,VALUE(SUBSTITUTE(SUBSTITUTE(SUBSTITUTE(actuals!H243,"(","-"),")",""),",","")))</f>
        <v/>
      </c>
      <c r="E243">
        <f>INDEX(map!$B$2:$B$12,MATCH(actuals!E243,map!$A$2:$A$12,0))</f>
        <v/>
      </c>
      <c r="F243">
        <f>IF(COUNTIF($A$2:$A243,actuals!A243)=1,1,0)</f>
        <v/>
      </c>
      <c r="G243">
        <f>INDEX(map!$C$2:$C$12,MATCH(actuals!E243,map!$A$2:$A$12,0))</f>
        <v/>
      </c>
    </row>
    <row r="244">
      <c r="A244">
        <f>actuals!A244</f>
        <v/>
      </c>
      <c r="B244">
        <f>actuals!B244</f>
        <v/>
      </c>
      <c r="C244">
        <f>actuals!E244</f>
        <v/>
      </c>
      <c r="D244">
        <f>IF(actuals!G244="revenue",-1,1)*IFERROR(actuals!H244,VALUE(SUBSTITUTE(SUBSTITUTE(SUBSTITUTE(actuals!H244,"(","-"),")",""),",","")))</f>
        <v/>
      </c>
      <c r="E244">
        <f>INDEX(map!$B$2:$B$12,MATCH(actuals!E244,map!$A$2:$A$12,0))</f>
        <v/>
      </c>
      <c r="F244">
        <f>IF(COUNTIF($A$2:$A244,actuals!A244)=1,1,0)</f>
        <v/>
      </c>
      <c r="G244">
        <f>INDEX(map!$C$2:$C$12,MATCH(actuals!E244,map!$A$2:$A$12,0))</f>
        <v/>
      </c>
    </row>
    <row r="245">
      <c r="A245">
        <f>actuals!A245</f>
        <v/>
      </c>
      <c r="B245">
        <f>actuals!B245</f>
        <v/>
      </c>
      <c r="C245">
        <f>actuals!E245</f>
        <v/>
      </c>
      <c r="D245">
        <f>IF(actuals!G245="revenue",-1,1)*IFERROR(actuals!H245,VALUE(SUBSTITUTE(SUBSTITUTE(SUBSTITUTE(actuals!H245,"(","-"),")",""),",","")))</f>
        <v/>
      </c>
      <c r="E245">
        <f>INDEX(map!$B$2:$B$12,MATCH(actuals!E245,map!$A$2:$A$12,0))</f>
        <v/>
      </c>
      <c r="F245">
        <f>IF(COUNTIF($A$2:$A245,actuals!A245)=1,1,0)</f>
        <v/>
      </c>
      <c r="G245">
        <f>INDEX(map!$C$2:$C$12,MATCH(actuals!E245,map!$A$2:$A$12,0))</f>
        <v/>
      </c>
    </row>
    <row r="246">
      <c r="A246">
        <f>actuals!A246</f>
        <v/>
      </c>
      <c r="B246">
        <f>actuals!B246</f>
        <v/>
      </c>
      <c r="C246">
        <f>actuals!E246</f>
        <v/>
      </c>
      <c r="D246">
        <f>IF(actuals!G246="revenue",-1,1)*IFERROR(actuals!H246,VALUE(SUBSTITUTE(SUBSTITUTE(SUBSTITUTE(actuals!H246,"(","-"),")",""),",","")))</f>
        <v/>
      </c>
      <c r="E246">
        <f>INDEX(map!$B$2:$B$12,MATCH(actuals!E246,map!$A$2:$A$12,0))</f>
        <v/>
      </c>
      <c r="F246">
        <f>IF(COUNTIF($A$2:$A246,actuals!A246)=1,1,0)</f>
        <v/>
      </c>
      <c r="G246">
        <f>INDEX(map!$C$2:$C$12,MATCH(actuals!E246,map!$A$2:$A$12,0))</f>
        <v/>
      </c>
    </row>
    <row r="247">
      <c r="A247">
        <f>actuals!A247</f>
        <v/>
      </c>
      <c r="B247">
        <f>actuals!B247</f>
        <v/>
      </c>
      <c r="C247">
        <f>actuals!E247</f>
        <v/>
      </c>
      <c r="D247">
        <f>IF(actuals!G247="revenue",-1,1)*IFERROR(actuals!H247,VALUE(SUBSTITUTE(SUBSTITUTE(SUBSTITUTE(actuals!H247,"(","-"),")",""),",","")))</f>
        <v/>
      </c>
      <c r="E247">
        <f>INDEX(map!$B$2:$B$12,MATCH(actuals!E247,map!$A$2:$A$12,0))</f>
        <v/>
      </c>
      <c r="F247">
        <f>IF(COUNTIF($A$2:$A247,actuals!A247)=1,1,0)</f>
        <v/>
      </c>
      <c r="G247">
        <f>INDEX(map!$C$2:$C$12,MATCH(actuals!E247,map!$A$2:$A$12,0))</f>
        <v/>
      </c>
    </row>
    <row r="248">
      <c r="A248">
        <f>actuals!A248</f>
        <v/>
      </c>
      <c r="B248">
        <f>actuals!B248</f>
        <v/>
      </c>
      <c r="C248">
        <f>actuals!E248</f>
        <v/>
      </c>
      <c r="D248">
        <f>IF(actuals!G248="revenue",-1,1)*IFERROR(actuals!H248,VALUE(SUBSTITUTE(SUBSTITUTE(SUBSTITUTE(actuals!H248,"(","-"),")",""),",","")))</f>
        <v/>
      </c>
      <c r="E248">
        <f>INDEX(map!$B$2:$B$12,MATCH(actuals!E248,map!$A$2:$A$12,0))</f>
        <v/>
      </c>
      <c r="F248">
        <f>IF(COUNTIF($A$2:$A248,actuals!A248)=1,1,0)</f>
        <v/>
      </c>
      <c r="G248">
        <f>INDEX(map!$C$2:$C$12,MATCH(actuals!E248,map!$A$2:$A$12,0))</f>
        <v/>
      </c>
    </row>
    <row r="249">
      <c r="A249">
        <f>actuals!A249</f>
        <v/>
      </c>
      <c r="B249">
        <f>actuals!B249</f>
        <v/>
      </c>
      <c r="C249">
        <f>actuals!E249</f>
        <v/>
      </c>
      <c r="D249">
        <f>IF(actuals!G249="revenue",-1,1)*IFERROR(actuals!H249,VALUE(SUBSTITUTE(SUBSTITUTE(SUBSTITUTE(actuals!H249,"(","-"),")",""),",","")))</f>
        <v/>
      </c>
      <c r="E249">
        <f>INDEX(map!$B$2:$B$12,MATCH(actuals!E249,map!$A$2:$A$12,0))</f>
        <v/>
      </c>
      <c r="F249">
        <f>IF(COUNTIF($A$2:$A249,actuals!A249)=1,1,0)</f>
        <v/>
      </c>
      <c r="G249">
        <f>INDEX(map!$C$2:$C$12,MATCH(actuals!E249,map!$A$2:$A$12,0))</f>
        <v/>
      </c>
    </row>
    <row r="250">
      <c r="A250">
        <f>actuals!A250</f>
        <v/>
      </c>
      <c r="B250">
        <f>actuals!B250</f>
        <v/>
      </c>
      <c r="C250">
        <f>actuals!E250</f>
        <v/>
      </c>
      <c r="D250">
        <f>IF(actuals!G250="revenue",-1,1)*IFERROR(actuals!H250,VALUE(SUBSTITUTE(SUBSTITUTE(SUBSTITUTE(actuals!H250,"(","-"),")",""),",","")))</f>
        <v/>
      </c>
      <c r="E250">
        <f>INDEX(map!$B$2:$B$12,MATCH(actuals!E250,map!$A$2:$A$12,0))</f>
        <v/>
      </c>
      <c r="F250">
        <f>IF(COUNTIF($A$2:$A250,actuals!A250)=1,1,0)</f>
        <v/>
      </c>
      <c r="G250">
        <f>INDEX(map!$C$2:$C$12,MATCH(actuals!E250,map!$A$2:$A$12,0))</f>
        <v/>
      </c>
    </row>
    <row r="251">
      <c r="A251">
        <f>actuals!A251</f>
        <v/>
      </c>
      <c r="B251">
        <f>actuals!B251</f>
        <v/>
      </c>
      <c r="C251">
        <f>actuals!E251</f>
        <v/>
      </c>
      <c r="D251">
        <f>IF(actuals!G251="revenue",-1,1)*IFERROR(actuals!H251,VALUE(SUBSTITUTE(SUBSTITUTE(SUBSTITUTE(actuals!H251,"(","-"),")",""),",","")))</f>
        <v/>
      </c>
      <c r="E251">
        <f>INDEX(map!$B$2:$B$12,MATCH(actuals!E251,map!$A$2:$A$12,0))</f>
        <v/>
      </c>
      <c r="F251">
        <f>IF(COUNTIF($A$2:$A251,actuals!A251)=1,1,0)</f>
        <v/>
      </c>
      <c r="G251">
        <f>INDEX(map!$C$2:$C$12,MATCH(actuals!E251,map!$A$2:$A$12,0))</f>
        <v/>
      </c>
    </row>
    <row r="252">
      <c r="A252">
        <f>actuals!A252</f>
        <v/>
      </c>
      <c r="B252">
        <f>actuals!B252</f>
        <v/>
      </c>
      <c r="C252">
        <f>actuals!E252</f>
        <v/>
      </c>
      <c r="D252">
        <f>IF(actuals!G252="revenue",-1,1)*IFERROR(actuals!H252,VALUE(SUBSTITUTE(SUBSTITUTE(SUBSTITUTE(actuals!H252,"(","-"),")",""),",","")))</f>
        <v/>
      </c>
      <c r="E252">
        <f>INDEX(map!$B$2:$B$12,MATCH(actuals!E252,map!$A$2:$A$12,0))</f>
        <v/>
      </c>
      <c r="F252">
        <f>IF(COUNTIF($A$2:$A252,actuals!A252)=1,1,0)</f>
        <v/>
      </c>
      <c r="G252">
        <f>INDEX(map!$C$2:$C$12,MATCH(actuals!E252,map!$A$2:$A$12,0))</f>
        <v/>
      </c>
    </row>
    <row r="253">
      <c r="A253">
        <f>actuals!A253</f>
        <v/>
      </c>
      <c r="B253">
        <f>actuals!B253</f>
        <v/>
      </c>
      <c r="C253">
        <f>actuals!E253</f>
        <v/>
      </c>
      <c r="D253">
        <f>IF(actuals!G253="revenue",-1,1)*IFERROR(actuals!H253,VALUE(SUBSTITUTE(SUBSTITUTE(SUBSTITUTE(actuals!H253,"(","-"),")",""),",","")))</f>
        <v/>
      </c>
      <c r="E253">
        <f>INDEX(map!$B$2:$B$12,MATCH(actuals!E253,map!$A$2:$A$12,0))</f>
        <v/>
      </c>
      <c r="F253">
        <f>IF(COUNTIF($A$2:$A253,actuals!A253)=1,1,0)</f>
        <v/>
      </c>
      <c r="G253">
        <f>INDEX(map!$C$2:$C$12,MATCH(actuals!E253,map!$A$2:$A$12,0))</f>
        <v/>
      </c>
    </row>
    <row r="254">
      <c r="A254">
        <f>actuals!A254</f>
        <v/>
      </c>
      <c r="B254">
        <f>actuals!B254</f>
        <v/>
      </c>
      <c r="C254">
        <f>actuals!E254</f>
        <v/>
      </c>
      <c r="D254">
        <f>IF(actuals!G254="revenue",-1,1)*IFERROR(actuals!H254,VALUE(SUBSTITUTE(SUBSTITUTE(SUBSTITUTE(actuals!H254,"(","-"),")",""),",","")))</f>
        <v/>
      </c>
      <c r="E254">
        <f>INDEX(map!$B$2:$B$12,MATCH(actuals!E254,map!$A$2:$A$12,0))</f>
        <v/>
      </c>
      <c r="F254">
        <f>IF(COUNTIF($A$2:$A254,actuals!A254)=1,1,0)</f>
        <v/>
      </c>
      <c r="G254">
        <f>INDEX(map!$C$2:$C$12,MATCH(actuals!E254,map!$A$2:$A$12,0))</f>
        <v/>
      </c>
    </row>
    <row r="255">
      <c r="A255">
        <f>actuals!A255</f>
        <v/>
      </c>
      <c r="B255">
        <f>actuals!B255</f>
        <v/>
      </c>
      <c r="C255">
        <f>actuals!E255</f>
        <v/>
      </c>
      <c r="D255">
        <f>IF(actuals!G255="revenue",-1,1)*IFERROR(actuals!H255,VALUE(SUBSTITUTE(SUBSTITUTE(SUBSTITUTE(actuals!H255,"(","-"),")",""),",","")))</f>
        <v/>
      </c>
      <c r="E255">
        <f>INDEX(map!$B$2:$B$12,MATCH(actuals!E255,map!$A$2:$A$12,0))</f>
        <v/>
      </c>
      <c r="F255">
        <f>IF(COUNTIF($A$2:$A255,actuals!A255)=1,1,0)</f>
        <v/>
      </c>
      <c r="G255">
        <f>INDEX(map!$C$2:$C$12,MATCH(actuals!E255,map!$A$2:$A$12,0))</f>
        <v/>
      </c>
    </row>
    <row r="256">
      <c r="A256">
        <f>actuals!A256</f>
        <v/>
      </c>
      <c r="B256">
        <f>actuals!B256</f>
        <v/>
      </c>
      <c r="C256">
        <f>actuals!E256</f>
        <v/>
      </c>
      <c r="D256">
        <f>IF(actuals!G256="revenue",-1,1)*IFERROR(actuals!H256,VALUE(SUBSTITUTE(SUBSTITUTE(SUBSTITUTE(actuals!H256,"(","-"),")",""),",","")))</f>
        <v/>
      </c>
      <c r="E256">
        <f>INDEX(map!$B$2:$B$12,MATCH(actuals!E256,map!$A$2:$A$12,0))</f>
        <v/>
      </c>
      <c r="F256">
        <f>IF(COUNTIF($A$2:$A256,actuals!A256)=1,1,0)</f>
        <v/>
      </c>
      <c r="G256">
        <f>INDEX(map!$C$2:$C$12,MATCH(actuals!E256,map!$A$2:$A$12,0))</f>
        <v/>
      </c>
    </row>
    <row r="257">
      <c r="A257">
        <f>actuals!A257</f>
        <v/>
      </c>
      <c r="B257">
        <f>actuals!B257</f>
        <v/>
      </c>
      <c r="C257">
        <f>actuals!E257</f>
        <v/>
      </c>
      <c r="D257">
        <f>IF(actuals!G257="revenue",-1,1)*IFERROR(actuals!H257,VALUE(SUBSTITUTE(SUBSTITUTE(SUBSTITUTE(actuals!H257,"(","-"),")",""),",","")))</f>
        <v/>
      </c>
      <c r="E257">
        <f>INDEX(map!$B$2:$B$12,MATCH(actuals!E257,map!$A$2:$A$12,0))</f>
        <v/>
      </c>
      <c r="F257">
        <f>IF(COUNTIF($A$2:$A257,actuals!A257)=1,1,0)</f>
        <v/>
      </c>
      <c r="G257">
        <f>INDEX(map!$C$2:$C$12,MATCH(actuals!E257,map!$A$2:$A$12,0))</f>
        <v/>
      </c>
    </row>
    <row r="258">
      <c r="A258">
        <f>actuals!A258</f>
        <v/>
      </c>
      <c r="B258">
        <f>actuals!B258</f>
        <v/>
      </c>
      <c r="C258">
        <f>actuals!E258</f>
        <v/>
      </c>
      <c r="D258">
        <f>IF(actuals!G258="revenue",-1,1)*IFERROR(actuals!H258,VALUE(SUBSTITUTE(SUBSTITUTE(SUBSTITUTE(actuals!H258,"(","-"),")",""),",","")))</f>
        <v/>
      </c>
      <c r="E258">
        <f>INDEX(map!$B$2:$B$12,MATCH(actuals!E258,map!$A$2:$A$12,0))</f>
        <v/>
      </c>
      <c r="F258">
        <f>IF(COUNTIF($A$2:$A258,actuals!A258)=1,1,0)</f>
        <v/>
      </c>
      <c r="G258">
        <f>INDEX(map!$C$2:$C$12,MATCH(actuals!E258,map!$A$2:$A$12,0))</f>
        <v/>
      </c>
    </row>
    <row r="259">
      <c r="A259">
        <f>actuals!A259</f>
        <v/>
      </c>
      <c r="B259">
        <f>actuals!B259</f>
        <v/>
      </c>
      <c r="C259">
        <f>actuals!E259</f>
        <v/>
      </c>
      <c r="D259">
        <f>IF(actuals!G259="revenue",-1,1)*IFERROR(actuals!H259,VALUE(SUBSTITUTE(SUBSTITUTE(SUBSTITUTE(actuals!H259,"(","-"),")",""),",","")))</f>
        <v/>
      </c>
      <c r="E259">
        <f>INDEX(map!$B$2:$B$12,MATCH(actuals!E259,map!$A$2:$A$12,0))</f>
        <v/>
      </c>
      <c r="F259">
        <f>IF(COUNTIF($A$2:$A259,actuals!A259)=1,1,0)</f>
        <v/>
      </c>
      <c r="G259">
        <f>INDEX(map!$C$2:$C$12,MATCH(actuals!E259,map!$A$2:$A$12,0))</f>
        <v/>
      </c>
    </row>
    <row r="260">
      <c r="A260">
        <f>actuals!A260</f>
        <v/>
      </c>
      <c r="B260">
        <f>actuals!B260</f>
        <v/>
      </c>
      <c r="C260">
        <f>actuals!E260</f>
        <v/>
      </c>
      <c r="D260">
        <f>IF(actuals!G260="revenue",-1,1)*IFERROR(actuals!H260,VALUE(SUBSTITUTE(SUBSTITUTE(SUBSTITUTE(actuals!H260,"(","-"),")",""),",","")))</f>
        <v/>
      </c>
      <c r="E260">
        <f>INDEX(map!$B$2:$B$12,MATCH(actuals!E260,map!$A$2:$A$12,0))</f>
        <v/>
      </c>
      <c r="F260">
        <f>IF(COUNTIF($A$2:$A260,actuals!A260)=1,1,0)</f>
        <v/>
      </c>
      <c r="G260">
        <f>INDEX(map!$C$2:$C$12,MATCH(actuals!E260,map!$A$2:$A$12,0))</f>
        <v/>
      </c>
    </row>
    <row r="261">
      <c r="A261">
        <f>actuals!A261</f>
        <v/>
      </c>
      <c r="B261">
        <f>actuals!B261</f>
        <v/>
      </c>
      <c r="C261">
        <f>actuals!E261</f>
        <v/>
      </c>
      <c r="D261">
        <f>IF(actuals!G261="revenue",-1,1)*IFERROR(actuals!H261,VALUE(SUBSTITUTE(SUBSTITUTE(SUBSTITUTE(actuals!H261,"(","-"),")",""),",","")))</f>
        <v/>
      </c>
      <c r="E261">
        <f>INDEX(map!$B$2:$B$12,MATCH(actuals!E261,map!$A$2:$A$12,0))</f>
        <v/>
      </c>
      <c r="F261">
        <f>IF(COUNTIF($A$2:$A261,actuals!A261)=1,1,0)</f>
        <v/>
      </c>
      <c r="G261">
        <f>INDEX(map!$C$2:$C$12,MATCH(actuals!E261,map!$A$2:$A$12,0))</f>
        <v/>
      </c>
    </row>
    <row r="262">
      <c r="A262">
        <f>actuals!A262</f>
        <v/>
      </c>
      <c r="B262">
        <f>actuals!B262</f>
        <v/>
      </c>
      <c r="C262">
        <f>actuals!E262</f>
        <v/>
      </c>
      <c r="D262">
        <f>IF(actuals!G262="revenue",-1,1)*IFERROR(actuals!H262,VALUE(SUBSTITUTE(SUBSTITUTE(SUBSTITUTE(actuals!H262,"(","-"),")",""),",","")))</f>
        <v/>
      </c>
      <c r="E262">
        <f>INDEX(map!$B$2:$B$12,MATCH(actuals!E262,map!$A$2:$A$12,0))</f>
        <v/>
      </c>
      <c r="F262">
        <f>IF(COUNTIF($A$2:$A262,actuals!A262)=1,1,0)</f>
        <v/>
      </c>
      <c r="G262">
        <f>INDEX(map!$C$2:$C$12,MATCH(actuals!E262,map!$A$2:$A$12,0))</f>
        <v/>
      </c>
    </row>
    <row r="263">
      <c r="A263">
        <f>actuals!A263</f>
        <v/>
      </c>
      <c r="B263">
        <f>actuals!B263</f>
        <v/>
      </c>
      <c r="C263">
        <f>actuals!E263</f>
        <v/>
      </c>
      <c r="D263">
        <f>IF(actuals!G263="revenue",-1,1)*IFERROR(actuals!H263,VALUE(SUBSTITUTE(SUBSTITUTE(SUBSTITUTE(actuals!H263,"(","-"),")",""),",","")))</f>
        <v/>
      </c>
      <c r="E263">
        <f>INDEX(map!$B$2:$B$12,MATCH(actuals!E263,map!$A$2:$A$12,0))</f>
        <v/>
      </c>
      <c r="F263">
        <f>IF(COUNTIF($A$2:$A263,actuals!A263)=1,1,0)</f>
        <v/>
      </c>
      <c r="G263">
        <f>INDEX(map!$C$2:$C$12,MATCH(actuals!E263,map!$A$2:$A$12,0))</f>
        <v/>
      </c>
    </row>
    <row r="264">
      <c r="A264">
        <f>actuals!A264</f>
        <v/>
      </c>
      <c r="B264">
        <f>actuals!B264</f>
        <v/>
      </c>
      <c r="C264">
        <f>actuals!E264</f>
        <v/>
      </c>
      <c r="D264">
        <f>IF(actuals!G264="revenue",-1,1)*IFERROR(actuals!H264,VALUE(SUBSTITUTE(SUBSTITUTE(SUBSTITUTE(actuals!H264,"(","-"),")",""),",","")))</f>
        <v/>
      </c>
      <c r="E264">
        <f>INDEX(map!$B$2:$B$12,MATCH(actuals!E264,map!$A$2:$A$12,0))</f>
        <v/>
      </c>
      <c r="F264">
        <f>IF(COUNTIF($A$2:$A264,actuals!A264)=1,1,0)</f>
        <v/>
      </c>
      <c r="G264">
        <f>INDEX(map!$C$2:$C$12,MATCH(actuals!E264,map!$A$2:$A$12,0))</f>
        <v/>
      </c>
    </row>
    <row r="265">
      <c r="A265">
        <f>actuals!A265</f>
        <v/>
      </c>
      <c r="B265">
        <f>actuals!B265</f>
        <v/>
      </c>
      <c r="C265">
        <f>actuals!E265</f>
        <v/>
      </c>
      <c r="D265">
        <f>IF(actuals!G265="revenue",-1,1)*IFERROR(actuals!H265,VALUE(SUBSTITUTE(SUBSTITUTE(SUBSTITUTE(actuals!H265,"(","-"),")",""),",","")))</f>
        <v/>
      </c>
      <c r="E265">
        <f>INDEX(map!$B$2:$B$12,MATCH(actuals!E265,map!$A$2:$A$12,0))</f>
        <v/>
      </c>
      <c r="F265">
        <f>IF(COUNTIF($A$2:$A265,actuals!A265)=1,1,0)</f>
        <v/>
      </c>
      <c r="G265">
        <f>INDEX(map!$C$2:$C$12,MATCH(actuals!E265,map!$A$2:$A$12,0))</f>
        <v/>
      </c>
    </row>
    <row r="266">
      <c r="A266">
        <f>actuals!A266</f>
        <v/>
      </c>
      <c r="B266">
        <f>actuals!B266</f>
        <v/>
      </c>
      <c r="C266">
        <f>actuals!E266</f>
        <v/>
      </c>
      <c r="D266">
        <f>IF(actuals!G266="revenue",-1,1)*IFERROR(actuals!H266,VALUE(SUBSTITUTE(SUBSTITUTE(SUBSTITUTE(actuals!H266,"(","-"),")",""),",","")))</f>
        <v/>
      </c>
      <c r="E266">
        <f>INDEX(map!$B$2:$B$12,MATCH(actuals!E266,map!$A$2:$A$12,0))</f>
        <v/>
      </c>
      <c r="F266">
        <f>IF(COUNTIF($A$2:$A266,actuals!A266)=1,1,0)</f>
        <v/>
      </c>
      <c r="G266">
        <f>INDEX(map!$C$2:$C$12,MATCH(actuals!E266,map!$A$2:$A$12,0))</f>
        <v/>
      </c>
    </row>
    <row r="267">
      <c r="A267">
        <f>actuals!A267</f>
        <v/>
      </c>
      <c r="B267">
        <f>actuals!B267</f>
        <v/>
      </c>
      <c r="C267">
        <f>actuals!E267</f>
        <v/>
      </c>
      <c r="D267">
        <f>IF(actuals!G267="revenue",-1,1)*IFERROR(actuals!H267,VALUE(SUBSTITUTE(SUBSTITUTE(SUBSTITUTE(actuals!H267,"(","-"),")",""),",","")))</f>
        <v/>
      </c>
      <c r="E267">
        <f>INDEX(map!$B$2:$B$12,MATCH(actuals!E267,map!$A$2:$A$12,0))</f>
        <v/>
      </c>
      <c r="F267">
        <f>IF(COUNTIF($A$2:$A267,actuals!A267)=1,1,0)</f>
        <v/>
      </c>
      <c r="G267">
        <f>INDEX(map!$C$2:$C$12,MATCH(actuals!E267,map!$A$2:$A$12,0))</f>
        <v/>
      </c>
    </row>
    <row r="268">
      <c r="A268">
        <f>actuals!A268</f>
        <v/>
      </c>
      <c r="B268">
        <f>actuals!B268</f>
        <v/>
      </c>
      <c r="C268">
        <f>actuals!E268</f>
        <v/>
      </c>
      <c r="D268">
        <f>IF(actuals!G268="revenue",-1,1)*IFERROR(actuals!H268,VALUE(SUBSTITUTE(SUBSTITUTE(SUBSTITUTE(actuals!H268,"(","-"),")",""),",","")))</f>
        <v/>
      </c>
      <c r="E268">
        <f>INDEX(map!$B$2:$B$12,MATCH(actuals!E268,map!$A$2:$A$12,0))</f>
        <v/>
      </c>
      <c r="F268">
        <f>IF(COUNTIF($A$2:$A268,actuals!A268)=1,1,0)</f>
        <v/>
      </c>
      <c r="G268">
        <f>INDEX(map!$C$2:$C$12,MATCH(actuals!E268,map!$A$2:$A$12,0))</f>
        <v/>
      </c>
    </row>
    <row r="269">
      <c r="A269">
        <f>actuals!A269</f>
        <v/>
      </c>
      <c r="B269">
        <f>actuals!B269</f>
        <v/>
      </c>
      <c r="C269">
        <f>actuals!E269</f>
        <v/>
      </c>
      <c r="D269">
        <f>IF(actuals!G269="revenue",-1,1)*IFERROR(actuals!H269,VALUE(SUBSTITUTE(SUBSTITUTE(SUBSTITUTE(actuals!H269,"(","-"),")",""),",","")))</f>
        <v/>
      </c>
      <c r="E269">
        <f>INDEX(map!$B$2:$B$12,MATCH(actuals!E269,map!$A$2:$A$12,0))</f>
        <v/>
      </c>
      <c r="F269">
        <f>IF(COUNTIF($A$2:$A269,actuals!A269)=1,1,0)</f>
        <v/>
      </c>
      <c r="G269">
        <f>INDEX(map!$C$2:$C$12,MATCH(actuals!E269,map!$A$2:$A$12,0))</f>
        <v/>
      </c>
    </row>
    <row r="270">
      <c r="A270">
        <f>actuals!A270</f>
        <v/>
      </c>
      <c r="B270">
        <f>actuals!B270</f>
        <v/>
      </c>
      <c r="C270">
        <f>actuals!E270</f>
        <v/>
      </c>
      <c r="D270">
        <f>IF(actuals!G270="revenue",-1,1)*IFERROR(actuals!H270,VALUE(SUBSTITUTE(SUBSTITUTE(SUBSTITUTE(actuals!H270,"(","-"),")",""),",","")))</f>
        <v/>
      </c>
      <c r="E270">
        <f>INDEX(map!$B$2:$B$12,MATCH(actuals!E270,map!$A$2:$A$12,0))</f>
        <v/>
      </c>
      <c r="F270">
        <f>IF(COUNTIF($A$2:$A270,actuals!A270)=1,1,0)</f>
        <v/>
      </c>
      <c r="G270">
        <f>INDEX(map!$C$2:$C$12,MATCH(actuals!E270,map!$A$2:$A$12,0))</f>
        <v/>
      </c>
    </row>
    <row r="271">
      <c r="A271">
        <f>actuals!A271</f>
        <v/>
      </c>
      <c r="B271">
        <f>actuals!B271</f>
        <v/>
      </c>
      <c r="C271">
        <f>actuals!E271</f>
        <v/>
      </c>
      <c r="D271">
        <f>IF(actuals!G271="revenue",-1,1)*IFERROR(actuals!H271,VALUE(SUBSTITUTE(SUBSTITUTE(SUBSTITUTE(actuals!H271,"(","-"),")",""),",","")))</f>
        <v/>
      </c>
      <c r="E271">
        <f>INDEX(map!$B$2:$B$12,MATCH(actuals!E271,map!$A$2:$A$12,0))</f>
        <v/>
      </c>
      <c r="F271">
        <f>IF(COUNTIF($A$2:$A271,actuals!A271)=1,1,0)</f>
        <v/>
      </c>
      <c r="G271">
        <f>INDEX(map!$C$2:$C$12,MATCH(actuals!E271,map!$A$2:$A$12,0))</f>
        <v/>
      </c>
    </row>
    <row r="272">
      <c r="A272">
        <f>actuals!A272</f>
        <v/>
      </c>
      <c r="B272">
        <f>actuals!B272</f>
        <v/>
      </c>
      <c r="C272">
        <f>actuals!E272</f>
        <v/>
      </c>
      <c r="D272">
        <f>IF(actuals!G272="revenue",-1,1)*IFERROR(actuals!H272,VALUE(SUBSTITUTE(SUBSTITUTE(SUBSTITUTE(actuals!H272,"(","-"),")",""),",","")))</f>
        <v/>
      </c>
      <c r="E272">
        <f>INDEX(map!$B$2:$B$12,MATCH(actuals!E272,map!$A$2:$A$12,0))</f>
        <v/>
      </c>
      <c r="F272">
        <f>IF(COUNTIF($A$2:$A272,actuals!A272)=1,1,0)</f>
        <v/>
      </c>
      <c r="G272">
        <f>INDEX(map!$C$2:$C$12,MATCH(actuals!E272,map!$A$2:$A$12,0))</f>
        <v/>
      </c>
    </row>
    <row r="273">
      <c r="A273">
        <f>actuals!A273</f>
        <v/>
      </c>
      <c r="B273">
        <f>actuals!B273</f>
        <v/>
      </c>
      <c r="C273">
        <f>actuals!E273</f>
        <v/>
      </c>
      <c r="D273">
        <f>IF(actuals!G273="revenue",-1,1)*IFERROR(actuals!H273,VALUE(SUBSTITUTE(SUBSTITUTE(SUBSTITUTE(actuals!H273,"(","-"),")",""),",","")))</f>
        <v/>
      </c>
      <c r="E273">
        <f>INDEX(map!$B$2:$B$12,MATCH(actuals!E273,map!$A$2:$A$12,0))</f>
        <v/>
      </c>
      <c r="F273">
        <f>IF(COUNTIF($A$2:$A273,actuals!A273)=1,1,0)</f>
        <v/>
      </c>
      <c r="G273">
        <f>INDEX(map!$C$2:$C$12,MATCH(actuals!E273,map!$A$2:$A$12,0))</f>
        <v/>
      </c>
    </row>
    <row r="274">
      <c r="A274">
        <f>actuals!A274</f>
        <v/>
      </c>
      <c r="B274">
        <f>actuals!B274</f>
        <v/>
      </c>
      <c r="C274">
        <f>actuals!E274</f>
        <v/>
      </c>
      <c r="D274">
        <f>IF(actuals!G274="revenue",-1,1)*IFERROR(actuals!H274,VALUE(SUBSTITUTE(SUBSTITUTE(SUBSTITUTE(actuals!H274,"(","-"),")",""),",","")))</f>
        <v/>
      </c>
      <c r="E274">
        <f>INDEX(map!$B$2:$B$12,MATCH(actuals!E274,map!$A$2:$A$12,0))</f>
        <v/>
      </c>
      <c r="F274">
        <f>IF(COUNTIF($A$2:$A274,actuals!A274)=1,1,0)</f>
        <v/>
      </c>
      <c r="G274">
        <f>INDEX(map!$C$2:$C$12,MATCH(actuals!E274,map!$A$2:$A$12,0))</f>
        <v/>
      </c>
    </row>
    <row r="275">
      <c r="A275">
        <f>actuals!A275</f>
        <v/>
      </c>
      <c r="B275">
        <f>actuals!B275</f>
        <v/>
      </c>
      <c r="C275">
        <f>actuals!E275</f>
        <v/>
      </c>
      <c r="D275">
        <f>IF(actuals!G275="revenue",-1,1)*IFERROR(actuals!H275,VALUE(SUBSTITUTE(SUBSTITUTE(SUBSTITUTE(actuals!H275,"(","-"),")",""),",","")))</f>
        <v/>
      </c>
      <c r="E275">
        <f>INDEX(map!$B$2:$B$12,MATCH(actuals!E275,map!$A$2:$A$12,0))</f>
        <v/>
      </c>
      <c r="F275">
        <f>IF(COUNTIF($A$2:$A275,actuals!A275)=1,1,0)</f>
        <v/>
      </c>
      <c r="G275">
        <f>INDEX(map!$C$2:$C$12,MATCH(actuals!E275,map!$A$2:$A$12,0))</f>
        <v/>
      </c>
    </row>
    <row r="276">
      <c r="A276">
        <f>actuals!A276</f>
        <v/>
      </c>
      <c r="B276">
        <f>actuals!B276</f>
        <v/>
      </c>
      <c r="C276">
        <f>actuals!E276</f>
        <v/>
      </c>
      <c r="D276">
        <f>IF(actuals!G276="revenue",-1,1)*IFERROR(actuals!H276,VALUE(SUBSTITUTE(SUBSTITUTE(SUBSTITUTE(actuals!H276,"(","-"),")",""),",","")))</f>
        <v/>
      </c>
      <c r="E276">
        <f>INDEX(map!$B$2:$B$12,MATCH(actuals!E276,map!$A$2:$A$12,0))</f>
        <v/>
      </c>
      <c r="F276">
        <f>IF(COUNTIF($A$2:$A276,actuals!A276)=1,1,0)</f>
        <v/>
      </c>
      <c r="G276">
        <f>INDEX(map!$C$2:$C$12,MATCH(actuals!E276,map!$A$2:$A$12,0))</f>
        <v/>
      </c>
    </row>
    <row r="277">
      <c r="A277">
        <f>actuals!A277</f>
        <v/>
      </c>
      <c r="B277">
        <f>actuals!B277</f>
        <v/>
      </c>
      <c r="C277">
        <f>actuals!E277</f>
        <v/>
      </c>
      <c r="D277">
        <f>IF(actuals!G277="revenue",-1,1)*IFERROR(actuals!H277,VALUE(SUBSTITUTE(SUBSTITUTE(SUBSTITUTE(actuals!H277,"(","-"),")",""),",","")))</f>
        <v/>
      </c>
      <c r="E277">
        <f>INDEX(map!$B$2:$B$12,MATCH(actuals!E277,map!$A$2:$A$12,0))</f>
        <v/>
      </c>
      <c r="F277">
        <f>IF(COUNTIF($A$2:$A277,actuals!A277)=1,1,0)</f>
        <v/>
      </c>
      <c r="G277">
        <f>INDEX(map!$C$2:$C$12,MATCH(actuals!E277,map!$A$2:$A$12,0))</f>
        <v/>
      </c>
    </row>
    <row r="278">
      <c r="A278">
        <f>actuals!A278</f>
        <v/>
      </c>
      <c r="B278">
        <f>actuals!B278</f>
        <v/>
      </c>
      <c r="C278">
        <f>actuals!E278</f>
        <v/>
      </c>
      <c r="D278">
        <f>IF(actuals!G278="revenue",-1,1)*IFERROR(actuals!H278,VALUE(SUBSTITUTE(SUBSTITUTE(SUBSTITUTE(actuals!H278,"(","-"),")",""),",","")))</f>
        <v/>
      </c>
      <c r="E278">
        <f>INDEX(map!$B$2:$B$12,MATCH(actuals!E278,map!$A$2:$A$12,0))</f>
        <v/>
      </c>
      <c r="F278">
        <f>IF(COUNTIF($A$2:$A278,actuals!A278)=1,1,0)</f>
        <v/>
      </c>
      <c r="G278">
        <f>INDEX(map!$C$2:$C$12,MATCH(actuals!E278,map!$A$2:$A$12,0))</f>
        <v/>
      </c>
    </row>
    <row r="279">
      <c r="A279">
        <f>actuals!A279</f>
        <v/>
      </c>
      <c r="B279">
        <f>actuals!B279</f>
        <v/>
      </c>
      <c r="C279">
        <f>actuals!E279</f>
        <v/>
      </c>
      <c r="D279">
        <f>IF(actuals!G279="revenue",-1,1)*IFERROR(actuals!H279,VALUE(SUBSTITUTE(SUBSTITUTE(SUBSTITUTE(actuals!H279,"(","-"),")",""),",","")))</f>
        <v/>
      </c>
      <c r="E279">
        <f>INDEX(map!$B$2:$B$12,MATCH(actuals!E279,map!$A$2:$A$12,0))</f>
        <v/>
      </c>
      <c r="F279">
        <f>IF(COUNTIF($A$2:$A279,actuals!A279)=1,1,0)</f>
        <v/>
      </c>
      <c r="G279">
        <f>INDEX(map!$C$2:$C$12,MATCH(actuals!E279,map!$A$2:$A$12,0))</f>
        <v/>
      </c>
    </row>
    <row r="280">
      <c r="A280">
        <f>actuals!A280</f>
        <v/>
      </c>
      <c r="B280">
        <f>actuals!B280</f>
        <v/>
      </c>
      <c r="C280">
        <f>actuals!E280</f>
        <v/>
      </c>
      <c r="D280">
        <f>IF(actuals!G280="revenue",-1,1)*IFERROR(actuals!H280,VALUE(SUBSTITUTE(SUBSTITUTE(SUBSTITUTE(actuals!H280,"(","-"),")",""),",","")))</f>
        <v/>
      </c>
      <c r="E280">
        <f>INDEX(map!$B$2:$B$12,MATCH(actuals!E280,map!$A$2:$A$12,0))</f>
        <v/>
      </c>
      <c r="F280">
        <f>IF(COUNTIF($A$2:$A280,actuals!A280)=1,1,0)</f>
        <v/>
      </c>
      <c r="G280">
        <f>INDEX(map!$C$2:$C$12,MATCH(actuals!E280,map!$A$2:$A$12,0))</f>
        <v/>
      </c>
    </row>
    <row r="281">
      <c r="A281">
        <f>actuals!A281</f>
        <v/>
      </c>
      <c r="B281">
        <f>actuals!B281</f>
        <v/>
      </c>
      <c r="C281">
        <f>actuals!E281</f>
        <v/>
      </c>
      <c r="D281">
        <f>IF(actuals!G281="revenue",-1,1)*IFERROR(actuals!H281,VALUE(SUBSTITUTE(SUBSTITUTE(SUBSTITUTE(actuals!H281,"(","-"),")",""),",","")))</f>
        <v/>
      </c>
      <c r="E281">
        <f>INDEX(map!$B$2:$B$12,MATCH(actuals!E281,map!$A$2:$A$12,0))</f>
        <v/>
      </c>
      <c r="F281">
        <f>IF(COUNTIF($A$2:$A281,actuals!A281)=1,1,0)</f>
        <v/>
      </c>
      <c r="G281">
        <f>INDEX(map!$C$2:$C$12,MATCH(actuals!E281,map!$A$2:$A$12,0))</f>
        <v/>
      </c>
    </row>
    <row r="282">
      <c r="A282">
        <f>actuals!A282</f>
        <v/>
      </c>
      <c r="B282">
        <f>actuals!B282</f>
        <v/>
      </c>
      <c r="C282">
        <f>actuals!E282</f>
        <v/>
      </c>
      <c r="D282">
        <f>IF(actuals!G282="revenue",-1,1)*IFERROR(actuals!H282,VALUE(SUBSTITUTE(SUBSTITUTE(SUBSTITUTE(actuals!H282,"(","-"),")",""),",","")))</f>
        <v/>
      </c>
      <c r="E282">
        <f>INDEX(map!$B$2:$B$12,MATCH(actuals!E282,map!$A$2:$A$12,0))</f>
        <v/>
      </c>
      <c r="F282">
        <f>IF(COUNTIF($A$2:$A282,actuals!A282)=1,1,0)</f>
        <v/>
      </c>
      <c r="G282">
        <f>INDEX(map!$C$2:$C$12,MATCH(actuals!E282,map!$A$2:$A$12,0))</f>
        <v/>
      </c>
    </row>
    <row r="283">
      <c r="A283">
        <f>actuals!A283</f>
        <v/>
      </c>
      <c r="B283">
        <f>actuals!B283</f>
        <v/>
      </c>
      <c r="C283">
        <f>actuals!E283</f>
        <v/>
      </c>
      <c r="D283">
        <f>IF(actuals!G283="revenue",-1,1)*IFERROR(actuals!H283,VALUE(SUBSTITUTE(SUBSTITUTE(SUBSTITUTE(actuals!H283,"(","-"),")",""),",","")))</f>
        <v/>
      </c>
      <c r="E283">
        <f>INDEX(map!$B$2:$B$12,MATCH(actuals!E283,map!$A$2:$A$12,0))</f>
        <v/>
      </c>
      <c r="F283">
        <f>IF(COUNTIF($A$2:$A283,actuals!A283)=1,1,0)</f>
        <v/>
      </c>
      <c r="G283">
        <f>INDEX(map!$C$2:$C$12,MATCH(actuals!E283,map!$A$2:$A$12,0))</f>
        <v/>
      </c>
    </row>
    <row r="284">
      <c r="A284">
        <f>actuals!A284</f>
        <v/>
      </c>
      <c r="B284">
        <f>actuals!B284</f>
        <v/>
      </c>
      <c r="C284">
        <f>actuals!E284</f>
        <v/>
      </c>
      <c r="D284">
        <f>IF(actuals!G284="revenue",-1,1)*IFERROR(actuals!H284,VALUE(SUBSTITUTE(SUBSTITUTE(SUBSTITUTE(actuals!H284,"(","-"),")",""),",","")))</f>
        <v/>
      </c>
      <c r="E284">
        <f>INDEX(map!$B$2:$B$12,MATCH(actuals!E284,map!$A$2:$A$12,0))</f>
        <v/>
      </c>
      <c r="F284">
        <f>IF(COUNTIF($A$2:$A284,actuals!A284)=1,1,0)</f>
        <v/>
      </c>
      <c r="G284">
        <f>INDEX(map!$C$2:$C$12,MATCH(actuals!E284,map!$A$2:$A$12,0))</f>
        <v/>
      </c>
    </row>
    <row r="285">
      <c r="A285">
        <f>actuals!A285</f>
        <v/>
      </c>
      <c r="B285">
        <f>actuals!B285</f>
        <v/>
      </c>
      <c r="C285">
        <f>actuals!E285</f>
        <v/>
      </c>
      <c r="D285">
        <f>IF(actuals!G285="revenue",-1,1)*IFERROR(actuals!H285,VALUE(SUBSTITUTE(SUBSTITUTE(SUBSTITUTE(actuals!H285,"(","-"),")",""),",","")))</f>
        <v/>
      </c>
      <c r="E285">
        <f>INDEX(map!$B$2:$B$12,MATCH(actuals!E285,map!$A$2:$A$12,0))</f>
        <v/>
      </c>
      <c r="F285">
        <f>IF(COUNTIF($A$2:$A285,actuals!A285)=1,1,0)</f>
        <v/>
      </c>
      <c r="G285">
        <f>INDEX(map!$C$2:$C$12,MATCH(actuals!E285,map!$A$2:$A$12,0))</f>
        <v/>
      </c>
    </row>
    <row r="286">
      <c r="A286">
        <f>actuals!A286</f>
        <v/>
      </c>
      <c r="B286">
        <f>actuals!B286</f>
        <v/>
      </c>
      <c r="C286">
        <f>actuals!E286</f>
        <v/>
      </c>
      <c r="D286">
        <f>IF(actuals!G286="revenue",-1,1)*IFERROR(actuals!H286,VALUE(SUBSTITUTE(SUBSTITUTE(SUBSTITUTE(actuals!H286,"(","-"),")",""),",","")))</f>
        <v/>
      </c>
      <c r="E286">
        <f>INDEX(map!$B$2:$B$12,MATCH(actuals!E286,map!$A$2:$A$12,0))</f>
        <v/>
      </c>
      <c r="F286">
        <f>IF(COUNTIF($A$2:$A286,actuals!A286)=1,1,0)</f>
        <v/>
      </c>
      <c r="G286">
        <f>INDEX(map!$C$2:$C$12,MATCH(actuals!E286,map!$A$2:$A$12,0))</f>
        <v/>
      </c>
    </row>
    <row r="287">
      <c r="A287">
        <f>actuals!A287</f>
        <v/>
      </c>
      <c r="B287">
        <f>actuals!B287</f>
        <v/>
      </c>
      <c r="C287">
        <f>actuals!E287</f>
        <v/>
      </c>
      <c r="D287">
        <f>IF(actuals!G287="revenue",-1,1)*IFERROR(actuals!H287,VALUE(SUBSTITUTE(SUBSTITUTE(SUBSTITUTE(actuals!H287,"(","-"),")",""),",","")))</f>
        <v/>
      </c>
      <c r="E287">
        <f>INDEX(map!$B$2:$B$12,MATCH(actuals!E287,map!$A$2:$A$12,0))</f>
        <v/>
      </c>
      <c r="F287">
        <f>IF(COUNTIF($A$2:$A287,actuals!A287)=1,1,0)</f>
        <v/>
      </c>
      <c r="G287">
        <f>INDEX(map!$C$2:$C$12,MATCH(actuals!E287,map!$A$2:$A$12,0))</f>
        <v/>
      </c>
    </row>
    <row r="288">
      <c r="A288">
        <f>actuals!A288</f>
        <v/>
      </c>
      <c r="B288">
        <f>actuals!B288</f>
        <v/>
      </c>
      <c r="C288">
        <f>actuals!E288</f>
        <v/>
      </c>
      <c r="D288">
        <f>IF(actuals!G288="revenue",-1,1)*IFERROR(actuals!H288,VALUE(SUBSTITUTE(SUBSTITUTE(SUBSTITUTE(actuals!H288,"(","-"),")",""),",","")))</f>
        <v/>
      </c>
      <c r="E288">
        <f>INDEX(map!$B$2:$B$12,MATCH(actuals!E288,map!$A$2:$A$12,0))</f>
        <v/>
      </c>
      <c r="F288">
        <f>IF(COUNTIF($A$2:$A288,actuals!A288)=1,1,0)</f>
        <v/>
      </c>
      <c r="G288">
        <f>INDEX(map!$C$2:$C$12,MATCH(actuals!E288,map!$A$2:$A$12,0))</f>
        <v/>
      </c>
    </row>
    <row r="289">
      <c r="A289">
        <f>actuals!A289</f>
        <v/>
      </c>
      <c r="B289">
        <f>actuals!B289</f>
        <v/>
      </c>
      <c r="C289">
        <f>actuals!E289</f>
        <v/>
      </c>
      <c r="D289">
        <f>IF(actuals!G289="revenue",-1,1)*IFERROR(actuals!H289,VALUE(SUBSTITUTE(SUBSTITUTE(SUBSTITUTE(actuals!H289,"(","-"),")",""),",","")))</f>
        <v/>
      </c>
      <c r="E289">
        <f>INDEX(map!$B$2:$B$12,MATCH(actuals!E289,map!$A$2:$A$12,0))</f>
        <v/>
      </c>
      <c r="F289">
        <f>IF(COUNTIF($A$2:$A289,actuals!A289)=1,1,0)</f>
        <v/>
      </c>
      <c r="G289">
        <f>INDEX(map!$C$2:$C$12,MATCH(actuals!E289,map!$A$2:$A$12,0))</f>
        <v/>
      </c>
    </row>
    <row r="290">
      <c r="A290">
        <f>actuals!A290</f>
        <v/>
      </c>
      <c r="B290">
        <f>actuals!B290</f>
        <v/>
      </c>
      <c r="C290">
        <f>actuals!E290</f>
        <v/>
      </c>
      <c r="D290">
        <f>IF(actuals!G290="revenue",-1,1)*IFERROR(actuals!H290,VALUE(SUBSTITUTE(SUBSTITUTE(SUBSTITUTE(actuals!H290,"(","-"),")",""),",","")))</f>
        <v/>
      </c>
      <c r="E290">
        <f>INDEX(map!$B$2:$B$12,MATCH(actuals!E290,map!$A$2:$A$12,0))</f>
        <v/>
      </c>
      <c r="F290">
        <f>IF(COUNTIF($A$2:$A290,actuals!A290)=1,1,0)</f>
        <v/>
      </c>
      <c r="G290">
        <f>INDEX(map!$C$2:$C$12,MATCH(actuals!E290,map!$A$2:$A$12,0))</f>
        <v/>
      </c>
    </row>
    <row r="291">
      <c r="A291">
        <f>actuals!A291</f>
        <v/>
      </c>
      <c r="B291">
        <f>actuals!B291</f>
        <v/>
      </c>
      <c r="C291">
        <f>actuals!E291</f>
        <v/>
      </c>
      <c r="D291">
        <f>IF(actuals!G291="revenue",-1,1)*IFERROR(actuals!H291,VALUE(SUBSTITUTE(SUBSTITUTE(SUBSTITUTE(actuals!H291,"(","-"),")",""),",","")))</f>
        <v/>
      </c>
      <c r="E291">
        <f>INDEX(map!$B$2:$B$12,MATCH(actuals!E291,map!$A$2:$A$12,0))</f>
        <v/>
      </c>
      <c r="F291">
        <f>IF(COUNTIF($A$2:$A291,actuals!A291)=1,1,0)</f>
        <v/>
      </c>
      <c r="G291">
        <f>INDEX(map!$C$2:$C$12,MATCH(actuals!E291,map!$A$2:$A$12,0))</f>
        <v/>
      </c>
    </row>
    <row r="292">
      <c r="A292">
        <f>actuals!A292</f>
        <v/>
      </c>
      <c r="B292">
        <f>actuals!B292</f>
        <v/>
      </c>
      <c r="C292">
        <f>actuals!E292</f>
        <v/>
      </c>
      <c r="D292">
        <f>IF(actuals!G292="revenue",-1,1)*IFERROR(actuals!H292,VALUE(SUBSTITUTE(SUBSTITUTE(SUBSTITUTE(actuals!H292,"(","-"),")",""),",","")))</f>
        <v/>
      </c>
      <c r="E292">
        <f>INDEX(map!$B$2:$B$12,MATCH(actuals!E292,map!$A$2:$A$12,0))</f>
        <v/>
      </c>
      <c r="F292">
        <f>IF(COUNTIF($A$2:$A292,actuals!A292)=1,1,0)</f>
        <v/>
      </c>
      <c r="G292">
        <f>INDEX(map!$C$2:$C$12,MATCH(actuals!E292,map!$A$2:$A$12,0))</f>
        <v/>
      </c>
    </row>
    <row r="293">
      <c r="A293">
        <f>actuals!A293</f>
        <v/>
      </c>
      <c r="B293">
        <f>actuals!B293</f>
        <v/>
      </c>
      <c r="C293">
        <f>actuals!E293</f>
        <v/>
      </c>
      <c r="D293">
        <f>IF(actuals!G293="revenue",-1,1)*IFERROR(actuals!H293,VALUE(SUBSTITUTE(SUBSTITUTE(SUBSTITUTE(actuals!H293,"(","-"),")",""),",","")))</f>
        <v/>
      </c>
      <c r="E293">
        <f>INDEX(map!$B$2:$B$12,MATCH(actuals!E293,map!$A$2:$A$12,0))</f>
        <v/>
      </c>
      <c r="F293">
        <f>IF(COUNTIF($A$2:$A293,actuals!A293)=1,1,0)</f>
        <v/>
      </c>
      <c r="G293">
        <f>INDEX(map!$C$2:$C$12,MATCH(actuals!E293,map!$A$2:$A$12,0))</f>
        <v/>
      </c>
    </row>
    <row r="294">
      <c r="A294">
        <f>actuals!A294</f>
        <v/>
      </c>
      <c r="B294">
        <f>actuals!B294</f>
        <v/>
      </c>
      <c r="C294">
        <f>actuals!E294</f>
        <v/>
      </c>
      <c r="D294">
        <f>IF(actuals!G294="revenue",-1,1)*IFERROR(actuals!H294,VALUE(SUBSTITUTE(SUBSTITUTE(SUBSTITUTE(actuals!H294,"(","-"),")",""),",","")))</f>
        <v/>
      </c>
      <c r="E294">
        <f>INDEX(map!$B$2:$B$12,MATCH(actuals!E294,map!$A$2:$A$12,0))</f>
        <v/>
      </c>
      <c r="F294">
        <f>IF(COUNTIF($A$2:$A294,actuals!A294)=1,1,0)</f>
        <v/>
      </c>
      <c r="G294">
        <f>INDEX(map!$C$2:$C$12,MATCH(actuals!E294,map!$A$2:$A$12,0))</f>
        <v/>
      </c>
    </row>
    <row r="295">
      <c r="A295">
        <f>actuals!A295</f>
        <v/>
      </c>
      <c r="B295">
        <f>actuals!B295</f>
        <v/>
      </c>
      <c r="C295">
        <f>actuals!E295</f>
        <v/>
      </c>
      <c r="D295">
        <f>IF(actuals!G295="revenue",-1,1)*IFERROR(actuals!H295,VALUE(SUBSTITUTE(SUBSTITUTE(SUBSTITUTE(actuals!H295,"(","-"),")",""),",","")))</f>
        <v/>
      </c>
      <c r="E295">
        <f>INDEX(map!$B$2:$B$12,MATCH(actuals!E295,map!$A$2:$A$12,0))</f>
        <v/>
      </c>
      <c r="F295">
        <f>IF(COUNTIF($A$2:$A295,actuals!A295)=1,1,0)</f>
        <v/>
      </c>
      <c r="G295">
        <f>INDEX(map!$C$2:$C$12,MATCH(actuals!E295,map!$A$2:$A$12,0))</f>
        <v/>
      </c>
    </row>
    <row r="296">
      <c r="A296">
        <f>actuals!A296</f>
        <v/>
      </c>
      <c r="B296">
        <f>actuals!B296</f>
        <v/>
      </c>
      <c r="C296">
        <f>actuals!E296</f>
        <v/>
      </c>
      <c r="D296">
        <f>IF(actuals!G296="revenue",-1,1)*IFERROR(actuals!H296,VALUE(SUBSTITUTE(SUBSTITUTE(SUBSTITUTE(actuals!H296,"(","-"),")",""),",","")))</f>
        <v/>
      </c>
      <c r="E296">
        <f>INDEX(map!$B$2:$B$12,MATCH(actuals!E296,map!$A$2:$A$12,0))</f>
        <v/>
      </c>
      <c r="F296">
        <f>IF(COUNTIF($A$2:$A296,actuals!A296)=1,1,0)</f>
        <v/>
      </c>
      <c r="G296">
        <f>INDEX(map!$C$2:$C$12,MATCH(actuals!E296,map!$A$2:$A$12,0))</f>
        <v/>
      </c>
    </row>
    <row r="297">
      <c r="A297">
        <f>actuals!A297</f>
        <v/>
      </c>
      <c r="B297">
        <f>actuals!B297</f>
        <v/>
      </c>
      <c r="C297">
        <f>actuals!E297</f>
        <v/>
      </c>
      <c r="D297">
        <f>IF(actuals!G297="revenue",-1,1)*IFERROR(actuals!H297,VALUE(SUBSTITUTE(SUBSTITUTE(SUBSTITUTE(actuals!H297,"(","-"),")",""),",","")))</f>
        <v/>
      </c>
      <c r="E297">
        <f>INDEX(map!$B$2:$B$12,MATCH(actuals!E297,map!$A$2:$A$12,0))</f>
        <v/>
      </c>
      <c r="F297">
        <f>IF(COUNTIF($A$2:$A297,actuals!A297)=1,1,0)</f>
        <v/>
      </c>
      <c r="G297">
        <f>INDEX(map!$C$2:$C$12,MATCH(actuals!E297,map!$A$2:$A$12,0))</f>
        <v/>
      </c>
    </row>
    <row r="298">
      <c r="A298">
        <f>actuals!A298</f>
        <v/>
      </c>
      <c r="B298">
        <f>actuals!B298</f>
        <v/>
      </c>
      <c r="C298">
        <f>actuals!E298</f>
        <v/>
      </c>
      <c r="D298">
        <f>IF(actuals!G298="revenue",-1,1)*IFERROR(actuals!H298,VALUE(SUBSTITUTE(SUBSTITUTE(SUBSTITUTE(actuals!H298,"(","-"),")",""),",","")))</f>
        <v/>
      </c>
      <c r="E298">
        <f>INDEX(map!$B$2:$B$12,MATCH(actuals!E298,map!$A$2:$A$12,0))</f>
        <v/>
      </c>
      <c r="F298">
        <f>IF(COUNTIF($A$2:$A298,actuals!A298)=1,1,0)</f>
        <v/>
      </c>
      <c r="G298">
        <f>INDEX(map!$C$2:$C$12,MATCH(actuals!E298,map!$A$2:$A$12,0))</f>
        <v/>
      </c>
    </row>
    <row r="299">
      <c r="A299">
        <f>actuals!A299</f>
        <v/>
      </c>
      <c r="B299">
        <f>actuals!B299</f>
        <v/>
      </c>
      <c r="C299">
        <f>actuals!E299</f>
        <v/>
      </c>
      <c r="D299">
        <f>IF(actuals!G299="revenue",-1,1)*IFERROR(actuals!H299,VALUE(SUBSTITUTE(SUBSTITUTE(SUBSTITUTE(actuals!H299,"(","-"),")",""),",","")))</f>
        <v/>
      </c>
      <c r="E299">
        <f>INDEX(map!$B$2:$B$12,MATCH(actuals!E299,map!$A$2:$A$12,0))</f>
        <v/>
      </c>
      <c r="F299">
        <f>IF(COUNTIF($A$2:$A299,actuals!A299)=1,1,0)</f>
        <v/>
      </c>
      <c r="G299">
        <f>INDEX(map!$C$2:$C$12,MATCH(actuals!E299,map!$A$2:$A$12,0))</f>
        <v/>
      </c>
    </row>
    <row r="300">
      <c r="A300">
        <f>actuals!A300</f>
        <v/>
      </c>
      <c r="B300">
        <f>actuals!B300</f>
        <v/>
      </c>
      <c r="C300">
        <f>actuals!E300</f>
        <v/>
      </c>
      <c r="D300">
        <f>IF(actuals!G300="revenue",-1,1)*IFERROR(actuals!H300,VALUE(SUBSTITUTE(SUBSTITUTE(SUBSTITUTE(actuals!H300,"(","-"),")",""),",","")))</f>
        <v/>
      </c>
      <c r="E300">
        <f>INDEX(map!$B$2:$B$12,MATCH(actuals!E300,map!$A$2:$A$12,0))</f>
        <v/>
      </c>
      <c r="F300">
        <f>IF(COUNTIF($A$2:$A300,actuals!A300)=1,1,0)</f>
        <v/>
      </c>
      <c r="G300">
        <f>INDEX(map!$C$2:$C$12,MATCH(actuals!E300,map!$A$2:$A$12,0))</f>
        <v/>
      </c>
    </row>
    <row r="301">
      <c r="A301">
        <f>actuals!A301</f>
        <v/>
      </c>
      <c r="B301">
        <f>actuals!B301</f>
        <v/>
      </c>
      <c r="C301">
        <f>actuals!E301</f>
        <v/>
      </c>
      <c r="D301">
        <f>IF(actuals!G301="revenue",-1,1)*IFERROR(actuals!H301,VALUE(SUBSTITUTE(SUBSTITUTE(SUBSTITUTE(actuals!H301,"(","-"),")",""),",","")))</f>
        <v/>
      </c>
      <c r="E301">
        <f>INDEX(map!$B$2:$B$12,MATCH(actuals!E301,map!$A$2:$A$12,0))</f>
        <v/>
      </c>
      <c r="F301">
        <f>IF(COUNTIF($A$2:$A301,actuals!A301)=1,1,0)</f>
        <v/>
      </c>
      <c r="G301">
        <f>INDEX(map!$C$2:$C$12,MATCH(actuals!E301,map!$A$2:$A$12,0))</f>
        <v/>
      </c>
    </row>
    <row r="302">
      <c r="A302">
        <f>actuals!A302</f>
        <v/>
      </c>
      <c r="B302">
        <f>actuals!B302</f>
        <v/>
      </c>
      <c r="C302">
        <f>actuals!E302</f>
        <v/>
      </c>
      <c r="D302">
        <f>IF(actuals!G302="revenue",-1,1)*IFERROR(actuals!H302,VALUE(SUBSTITUTE(SUBSTITUTE(SUBSTITUTE(actuals!H302,"(","-"),")",""),",","")))</f>
        <v/>
      </c>
      <c r="E302">
        <f>INDEX(map!$B$2:$B$12,MATCH(actuals!E302,map!$A$2:$A$12,0))</f>
        <v/>
      </c>
      <c r="F302">
        <f>IF(COUNTIF($A$2:$A302,actuals!A302)=1,1,0)</f>
        <v/>
      </c>
      <c r="G302">
        <f>INDEX(map!$C$2:$C$12,MATCH(actuals!E302,map!$A$2:$A$12,0))</f>
        <v/>
      </c>
    </row>
    <row r="303">
      <c r="A303">
        <f>actuals!A303</f>
        <v/>
      </c>
      <c r="B303">
        <f>actuals!B303</f>
        <v/>
      </c>
      <c r="C303">
        <f>actuals!E303</f>
        <v/>
      </c>
      <c r="D303">
        <f>IF(actuals!G303="revenue",-1,1)*IFERROR(actuals!H303,VALUE(SUBSTITUTE(SUBSTITUTE(SUBSTITUTE(actuals!H303,"(","-"),")",""),",","")))</f>
        <v/>
      </c>
      <c r="E303">
        <f>INDEX(map!$B$2:$B$12,MATCH(actuals!E303,map!$A$2:$A$12,0))</f>
        <v/>
      </c>
      <c r="F303">
        <f>IF(COUNTIF($A$2:$A303,actuals!A303)=1,1,0)</f>
        <v/>
      </c>
      <c r="G303">
        <f>INDEX(map!$C$2:$C$12,MATCH(actuals!E303,map!$A$2:$A$12,0))</f>
        <v/>
      </c>
    </row>
    <row r="304">
      <c r="A304">
        <f>actuals!A304</f>
        <v/>
      </c>
      <c r="B304">
        <f>actuals!B304</f>
        <v/>
      </c>
      <c r="C304">
        <f>actuals!E304</f>
        <v/>
      </c>
      <c r="D304">
        <f>IF(actuals!G304="revenue",-1,1)*IFERROR(actuals!H304,VALUE(SUBSTITUTE(SUBSTITUTE(SUBSTITUTE(actuals!H304,"(","-"),")",""),",","")))</f>
        <v/>
      </c>
      <c r="E304">
        <f>INDEX(map!$B$2:$B$12,MATCH(actuals!E304,map!$A$2:$A$12,0))</f>
        <v/>
      </c>
      <c r="F304">
        <f>IF(COUNTIF($A$2:$A304,actuals!A304)=1,1,0)</f>
        <v/>
      </c>
      <c r="G304">
        <f>INDEX(map!$C$2:$C$12,MATCH(actuals!E304,map!$A$2:$A$12,0))</f>
        <v/>
      </c>
    </row>
    <row r="305">
      <c r="A305">
        <f>actuals!A305</f>
        <v/>
      </c>
      <c r="B305">
        <f>actuals!B305</f>
        <v/>
      </c>
      <c r="C305">
        <f>actuals!E305</f>
        <v/>
      </c>
      <c r="D305">
        <f>IF(actuals!G305="revenue",-1,1)*IFERROR(actuals!H305,VALUE(SUBSTITUTE(SUBSTITUTE(SUBSTITUTE(actuals!H305,"(","-"),")",""),",","")))</f>
        <v/>
      </c>
      <c r="E305">
        <f>INDEX(map!$B$2:$B$12,MATCH(actuals!E305,map!$A$2:$A$12,0))</f>
        <v/>
      </c>
      <c r="F305">
        <f>IF(COUNTIF($A$2:$A305,actuals!A305)=1,1,0)</f>
        <v/>
      </c>
      <c r="G305">
        <f>INDEX(map!$C$2:$C$12,MATCH(actuals!E305,map!$A$2:$A$12,0))</f>
        <v/>
      </c>
    </row>
    <row r="306">
      <c r="A306">
        <f>actuals!A306</f>
        <v/>
      </c>
      <c r="B306">
        <f>actuals!B306</f>
        <v/>
      </c>
      <c r="C306">
        <f>actuals!E306</f>
        <v/>
      </c>
      <c r="D306">
        <f>IF(actuals!G306="revenue",-1,1)*IFERROR(actuals!H306,VALUE(SUBSTITUTE(SUBSTITUTE(SUBSTITUTE(actuals!H306,"(","-"),")",""),",","")))</f>
        <v/>
      </c>
      <c r="E306">
        <f>INDEX(map!$B$2:$B$12,MATCH(actuals!E306,map!$A$2:$A$12,0))</f>
        <v/>
      </c>
      <c r="F306">
        <f>IF(COUNTIF($A$2:$A306,actuals!A306)=1,1,0)</f>
        <v/>
      </c>
      <c r="G306">
        <f>INDEX(map!$C$2:$C$12,MATCH(actuals!E306,map!$A$2:$A$12,0))</f>
        <v/>
      </c>
    </row>
    <row r="307">
      <c r="A307">
        <f>actuals!A307</f>
        <v/>
      </c>
      <c r="B307">
        <f>actuals!B307</f>
        <v/>
      </c>
      <c r="C307">
        <f>actuals!E307</f>
        <v/>
      </c>
      <c r="D307">
        <f>IF(actuals!G307="revenue",-1,1)*IFERROR(actuals!H307,VALUE(SUBSTITUTE(SUBSTITUTE(SUBSTITUTE(actuals!H307,"(","-"),")",""),",","")))</f>
        <v/>
      </c>
      <c r="E307">
        <f>INDEX(map!$B$2:$B$12,MATCH(actuals!E307,map!$A$2:$A$12,0))</f>
        <v/>
      </c>
      <c r="F307">
        <f>IF(COUNTIF($A$2:$A307,actuals!A307)=1,1,0)</f>
        <v/>
      </c>
      <c r="G307">
        <f>INDEX(map!$C$2:$C$12,MATCH(actuals!E307,map!$A$2:$A$12,0))</f>
        <v/>
      </c>
    </row>
    <row r="308">
      <c r="A308">
        <f>actuals!A308</f>
        <v/>
      </c>
      <c r="B308">
        <f>actuals!B308</f>
        <v/>
      </c>
      <c r="C308">
        <f>actuals!E308</f>
        <v/>
      </c>
      <c r="D308">
        <f>IF(actuals!G308="revenue",-1,1)*IFERROR(actuals!H308,VALUE(SUBSTITUTE(SUBSTITUTE(SUBSTITUTE(actuals!H308,"(","-"),")",""),",","")))</f>
        <v/>
      </c>
      <c r="E308">
        <f>INDEX(map!$B$2:$B$12,MATCH(actuals!E308,map!$A$2:$A$12,0))</f>
        <v/>
      </c>
      <c r="F308">
        <f>IF(COUNTIF($A$2:$A308,actuals!A308)=1,1,0)</f>
        <v/>
      </c>
      <c r="G308">
        <f>INDEX(map!$C$2:$C$12,MATCH(actuals!E308,map!$A$2:$A$12,0))</f>
        <v/>
      </c>
    </row>
    <row r="309">
      <c r="A309">
        <f>actuals!A309</f>
        <v/>
      </c>
      <c r="B309">
        <f>actuals!B309</f>
        <v/>
      </c>
      <c r="C309">
        <f>actuals!E309</f>
        <v/>
      </c>
      <c r="D309">
        <f>IF(actuals!G309="revenue",-1,1)*IFERROR(actuals!H309,VALUE(SUBSTITUTE(SUBSTITUTE(SUBSTITUTE(actuals!H309,"(","-"),")",""),",","")))</f>
        <v/>
      </c>
      <c r="E309">
        <f>INDEX(map!$B$2:$B$12,MATCH(actuals!E309,map!$A$2:$A$12,0))</f>
        <v/>
      </c>
      <c r="F309">
        <f>IF(COUNTIF($A$2:$A309,actuals!A309)=1,1,0)</f>
        <v/>
      </c>
      <c r="G309">
        <f>INDEX(map!$C$2:$C$12,MATCH(actuals!E309,map!$A$2:$A$12,0))</f>
        <v/>
      </c>
    </row>
    <row r="310">
      <c r="A310">
        <f>actuals!A310</f>
        <v/>
      </c>
      <c r="B310">
        <f>actuals!B310</f>
        <v/>
      </c>
      <c r="C310">
        <f>actuals!E310</f>
        <v/>
      </c>
      <c r="D310">
        <f>IF(actuals!G310="revenue",-1,1)*IFERROR(actuals!H310,VALUE(SUBSTITUTE(SUBSTITUTE(SUBSTITUTE(actuals!H310,"(","-"),")",""),",","")))</f>
        <v/>
      </c>
      <c r="E310">
        <f>INDEX(map!$B$2:$B$12,MATCH(actuals!E310,map!$A$2:$A$12,0))</f>
        <v/>
      </c>
      <c r="F310">
        <f>IF(COUNTIF($A$2:$A310,actuals!A310)=1,1,0)</f>
        <v/>
      </c>
      <c r="G310">
        <f>INDEX(map!$C$2:$C$12,MATCH(actuals!E310,map!$A$2:$A$12,0))</f>
        <v/>
      </c>
    </row>
    <row r="311">
      <c r="A311">
        <f>actuals!A311</f>
        <v/>
      </c>
      <c r="B311">
        <f>actuals!B311</f>
        <v/>
      </c>
      <c r="C311">
        <f>actuals!E311</f>
        <v/>
      </c>
      <c r="D311">
        <f>IF(actuals!G311="revenue",-1,1)*IFERROR(actuals!H311,VALUE(SUBSTITUTE(SUBSTITUTE(SUBSTITUTE(actuals!H311,"(","-"),")",""),",","")))</f>
        <v/>
      </c>
      <c r="E311">
        <f>INDEX(map!$B$2:$B$12,MATCH(actuals!E311,map!$A$2:$A$12,0))</f>
        <v/>
      </c>
      <c r="F311">
        <f>IF(COUNTIF($A$2:$A311,actuals!A311)=1,1,0)</f>
        <v/>
      </c>
      <c r="G311">
        <f>INDEX(map!$C$2:$C$12,MATCH(actuals!E311,map!$A$2:$A$12,0))</f>
        <v/>
      </c>
    </row>
    <row r="312">
      <c r="A312">
        <f>actuals!A312</f>
        <v/>
      </c>
      <c r="B312">
        <f>actuals!B312</f>
        <v/>
      </c>
      <c r="C312">
        <f>actuals!E312</f>
        <v/>
      </c>
      <c r="D312">
        <f>IF(actuals!G312="revenue",-1,1)*IFERROR(actuals!H312,VALUE(SUBSTITUTE(SUBSTITUTE(SUBSTITUTE(actuals!H312,"(","-"),")",""),",","")))</f>
        <v/>
      </c>
      <c r="E312">
        <f>INDEX(map!$B$2:$B$12,MATCH(actuals!E312,map!$A$2:$A$12,0))</f>
        <v/>
      </c>
      <c r="F312">
        <f>IF(COUNTIF($A$2:$A312,actuals!A312)=1,1,0)</f>
        <v/>
      </c>
      <c r="G312">
        <f>INDEX(map!$C$2:$C$12,MATCH(actuals!E312,map!$A$2:$A$12,0))</f>
        <v/>
      </c>
    </row>
    <row r="313">
      <c r="A313">
        <f>actuals!A313</f>
        <v/>
      </c>
      <c r="B313">
        <f>actuals!B313</f>
        <v/>
      </c>
      <c r="C313">
        <f>actuals!E313</f>
        <v/>
      </c>
      <c r="D313">
        <f>IF(actuals!G313="revenue",-1,1)*IFERROR(actuals!H313,VALUE(SUBSTITUTE(SUBSTITUTE(SUBSTITUTE(actuals!H313,"(","-"),")",""),",","")))</f>
        <v/>
      </c>
      <c r="E313">
        <f>INDEX(map!$B$2:$B$12,MATCH(actuals!E313,map!$A$2:$A$12,0))</f>
        <v/>
      </c>
      <c r="F313">
        <f>IF(COUNTIF($A$2:$A313,actuals!A313)=1,1,0)</f>
        <v/>
      </c>
      <c r="G313">
        <f>INDEX(map!$C$2:$C$12,MATCH(actuals!E313,map!$A$2:$A$12,0))</f>
        <v/>
      </c>
    </row>
    <row r="314">
      <c r="A314">
        <f>actuals!A314</f>
        <v/>
      </c>
      <c r="B314">
        <f>actuals!B314</f>
        <v/>
      </c>
      <c r="C314">
        <f>actuals!E314</f>
        <v/>
      </c>
      <c r="D314">
        <f>IF(actuals!G314="revenue",-1,1)*IFERROR(actuals!H314,VALUE(SUBSTITUTE(SUBSTITUTE(SUBSTITUTE(actuals!H314,"(","-"),")",""),",","")))</f>
        <v/>
      </c>
      <c r="E314">
        <f>INDEX(map!$B$2:$B$12,MATCH(actuals!E314,map!$A$2:$A$12,0))</f>
        <v/>
      </c>
      <c r="F314">
        <f>IF(COUNTIF($A$2:$A314,actuals!A314)=1,1,0)</f>
        <v/>
      </c>
      <c r="G314">
        <f>INDEX(map!$C$2:$C$12,MATCH(actuals!E314,map!$A$2:$A$12,0))</f>
        <v/>
      </c>
    </row>
    <row r="315">
      <c r="A315">
        <f>actuals!A315</f>
        <v/>
      </c>
      <c r="B315">
        <f>actuals!B315</f>
        <v/>
      </c>
      <c r="C315">
        <f>actuals!E315</f>
        <v/>
      </c>
      <c r="D315">
        <f>IF(actuals!G315="revenue",-1,1)*IFERROR(actuals!H315,VALUE(SUBSTITUTE(SUBSTITUTE(SUBSTITUTE(actuals!H315,"(","-"),")",""),",","")))</f>
        <v/>
      </c>
      <c r="E315">
        <f>INDEX(map!$B$2:$B$12,MATCH(actuals!E315,map!$A$2:$A$12,0))</f>
        <v/>
      </c>
      <c r="F315">
        <f>IF(COUNTIF($A$2:$A315,actuals!A315)=1,1,0)</f>
        <v/>
      </c>
      <c r="G315">
        <f>INDEX(map!$C$2:$C$12,MATCH(actuals!E315,map!$A$2:$A$12,0))</f>
        <v/>
      </c>
    </row>
    <row r="316">
      <c r="A316">
        <f>actuals!A316</f>
        <v/>
      </c>
      <c r="B316">
        <f>actuals!B316</f>
        <v/>
      </c>
      <c r="C316">
        <f>actuals!E316</f>
        <v/>
      </c>
      <c r="D316">
        <f>IF(actuals!G316="revenue",-1,1)*IFERROR(actuals!H316,VALUE(SUBSTITUTE(SUBSTITUTE(SUBSTITUTE(actuals!H316,"(","-"),")",""),",","")))</f>
        <v/>
      </c>
      <c r="E316">
        <f>INDEX(map!$B$2:$B$12,MATCH(actuals!E316,map!$A$2:$A$12,0))</f>
        <v/>
      </c>
      <c r="F316">
        <f>IF(COUNTIF($A$2:$A316,actuals!A316)=1,1,0)</f>
        <v/>
      </c>
      <c r="G316">
        <f>INDEX(map!$C$2:$C$12,MATCH(actuals!E316,map!$A$2:$A$12,0))</f>
        <v/>
      </c>
    </row>
    <row r="317">
      <c r="A317">
        <f>actuals!A317</f>
        <v/>
      </c>
      <c r="B317">
        <f>actuals!B317</f>
        <v/>
      </c>
      <c r="C317">
        <f>actuals!E317</f>
        <v/>
      </c>
      <c r="D317">
        <f>IF(actuals!G317="revenue",-1,1)*IFERROR(actuals!H317,VALUE(SUBSTITUTE(SUBSTITUTE(SUBSTITUTE(actuals!H317,"(","-"),")",""),",","")))</f>
        <v/>
      </c>
      <c r="E317">
        <f>INDEX(map!$B$2:$B$12,MATCH(actuals!E317,map!$A$2:$A$12,0))</f>
        <v/>
      </c>
      <c r="F317">
        <f>IF(COUNTIF($A$2:$A317,actuals!A317)=1,1,0)</f>
        <v/>
      </c>
      <c r="G317">
        <f>INDEX(map!$C$2:$C$12,MATCH(actuals!E317,map!$A$2:$A$12,0))</f>
        <v/>
      </c>
    </row>
    <row r="318">
      <c r="A318">
        <f>actuals!A318</f>
        <v/>
      </c>
      <c r="B318">
        <f>actuals!B318</f>
        <v/>
      </c>
      <c r="C318">
        <f>actuals!E318</f>
        <v/>
      </c>
      <c r="D318">
        <f>IF(actuals!G318="revenue",-1,1)*IFERROR(actuals!H318,VALUE(SUBSTITUTE(SUBSTITUTE(SUBSTITUTE(actuals!H318,"(","-"),")",""),",","")))</f>
        <v/>
      </c>
      <c r="E318">
        <f>INDEX(map!$B$2:$B$12,MATCH(actuals!E318,map!$A$2:$A$12,0))</f>
        <v/>
      </c>
      <c r="F318">
        <f>IF(COUNTIF($A$2:$A318,actuals!A318)=1,1,0)</f>
        <v/>
      </c>
      <c r="G318">
        <f>INDEX(map!$C$2:$C$12,MATCH(actuals!E318,map!$A$2:$A$12,0))</f>
        <v/>
      </c>
    </row>
    <row r="319">
      <c r="A319">
        <f>actuals!A319</f>
        <v/>
      </c>
      <c r="B319">
        <f>actuals!B319</f>
        <v/>
      </c>
      <c r="C319">
        <f>actuals!E319</f>
        <v/>
      </c>
      <c r="D319">
        <f>IF(actuals!G319="revenue",-1,1)*IFERROR(actuals!H319,VALUE(SUBSTITUTE(SUBSTITUTE(SUBSTITUTE(actuals!H319,"(","-"),")",""),",","")))</f>
        <v/>
      </c>
      <c r="E319">
        <f>INDEX(map!$B$2:$B$12,MATCH(actuals!E319,map!$A$2:$A$12,0))</f>
        <v/>
      </c>
      <c r="F319">
        <f>IF(COUNTIF($A$2:$A319,actuals!A319)=1,1,0)</f>
        <v/>
      </c>
      <c r="G319">
        <f>INDEX(map!$C$2:$C$12,MATCH(actuals!E319,map!$A$2:$A$12,0))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2026-09-29T23:50:02Z</dcterms:created>
  <dcterms:modified xmlns:dcterms="http://purl.org/dc/terms/" xmlns:xsi="http://www.w3.org/2001/XMLSchema-instance" xsi:type="dcterms:W3CDTF">2026-09-29T23:50:02Z</dcterms:modified>
</cp:coreProperties>
</file>